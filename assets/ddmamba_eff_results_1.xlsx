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BB0869-F97A-40E2-844A-D35D9B108F9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sults" sheetId="1" r:id="rId1"/>
    <sheet name="Archi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3" i="2" l="1"/>
  <c r="AC103" i="2"/>
  <c r="AB103" i="2"/>
  <c r="AA103" i="2"/>
  <c r="Z103" i="2"/>
  <c r="Y103" i="2"/>
  <c r="AD88" i="2"/>
  <c r="AC88" i="2"/>
  <c r="AB88" i="2"/>
  <c r="AA88" i="2"/>
  <c r="Z88" i="2"/>
  <c r="Y88" i="2"/>
  <c r="AD83" i="2"/>
  <c r="AC83" i="2"/>
  <c r="AB83" i="2"/>
  <c r="AA83" i="2"/>
  <c r="Z83" i="2"/>
  <c r="Y83" i="2"/>
  <c r="AD78" i="2"/>
  <c r="AC78" i="2"/>
  <c r="AB78" i="2"/>
  <c r="AA78" i="2"/>
  <c r="Z78" i="2"/>
  <c r="Y78" i="2"/>
  <c r="AD68" i="2"/>
  <c r="AC68" i="2"/>
  <c r="AB68" i="2"/>
  <c r="AA68" i="2"/>
  <c r="Z68" i="2"/>
  <c r="Y68" i="2"/>
  <c r="AD63" i="2"/>
  <c r="AC63" i="2"/>
  <c r="AB63" i="2"/>
  <c r="AA63" i="2"/>
  <c r="Z63" i="2"/>
  <c r="Y63" i="2"/>
  <c r="B59" i="2"/>
  <c r="A59" i="2"/>
  <c r="AD58" i="2"/>
  <c r="AC58" i="2"/>
  <c r="AB58" i="2"/>
  <c r="AA58" i="2"/>
  <c r="Z58" i="2"/>
  <c r="Y58" i="2"/>
  <c r="B54" i="2"/>
  <c r="A54" i="2"/>
  <c r="AD53" i="2"/>
  <c r="AC53" i="2"/>
  <c r="AB53" i="2"/>
  <c r="AA53" i="2"/>
  <c r="Z53" i="2"/>
  <c r="Y53" i="2"/>
  <c r="B49" i="2"/>
  <c r="A49" i="2"/>
  <c r="B39" i="2"/>
  <c r="A39" i="2"/>
  <c r="B34" i="2"/>
  <c r="A34" i="2"/>
  <c r="B29" i="2"/>
  <c r="A29" i="2"/>
  <c r="B24" i="2"/>
  <c r="A24" i="2"/>
  <c r="B19" i="2"/>
  <c r="A19" i="2"/>
  <c r="B14" i="2"/>
  <c r="A14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AF13" i="2" s="1" a="1"/>
  <c r="AF13" i="2" s="1"/>
  <c r="AF12" i="2" a="1"/>
  <c r="AF12" i="2"/>
  <c r="AE12" i="2" a="1"/>
  <c r="AE12" i="2" s="1"/>
  <c r="AD12" i="2" a="1"/>
  <c r="AD12" i="2"/>
  <c r="AC12" i="2" a="1"/>
  <c r="AC12" i="2"/>
  <c r="AF11" i="2" a="1"/>
  <c r="AF11" i="2"/>
  <c r="AE11" i="2" a="1"/>
  <c r="AE11" i="2"/>
  <c r="AD11" i="2" a="1"/>
  <c r="AD11" i="2"/>
  <c r="AC11" i="2" a="1"/>
  <c r="AC11" i="2"/>
  <c r="AF10" i="2" a="1"/>
  <c r="AF10" i="2"/>
  <c r="AE10" i="2" a="1"/>
  <c r="AE10" i="2"/>
  <c r="AD10" i="2" a="1"/>
  <c r="AD10" i="2" s="1"/>
  <c r="AC10" i="2" a="1"/>
  <c r="AC10" i="2"/>
  <c r="AF9" i="2" a="1"/>
  <c r="AF9" i="2"/>
  <c r="AE9" i="2" a="1"/>
  <c r="AE9" i="2"/>
  <c r="AD9" i="2" a="1"/>
  <c r="AD9" i="2"/>
  <c r="AC9" i="2" a="1"/>
  <c r="AC9" i="2"/>
  <c r="AA73" i="1" a="1"/>
  <c r="AA73" i="1"/>
  <c r="Z73" i="1" a="1"/>
  <c r="Z73" i="1" s="1"/>
  <c r="Y73" i="1" a="1"/>
  <c r="Y73" i="1"/>
  <c r="X73" i="1" a="1"/>
  <c r="X73" i="1"/>
  <c r="AA72" i="1" a="1"/>
  <c r="AA72" i="1"/>
  <c r="Z72" i="1" a="1"/>
  <c r="Z72" i="1"/>
  <c r="Y72" i="1" a="1"/>
  <c r="Y72" i="1"/>
  <c r="X72" i="1" a="1"/>
  <c r="X72" i="1"/>
  <c r="AA71" i="1" a="1"/>
  <c r="AA71" i="1"/>
  <c r="Z71" i="1" a="1"/>
  <c r="Z71" i="1"/>
  <c r="Y71" i="1" a="1"/>
  <c r="Y71" i="1" s="1"/>
  <c r="X71" i="1" a="1"/>
  <c r="X71" i="1"/>
  <c r="AA70" i="1" a="1"/>
  <c r="AA70" i="1"/>
  <c r="Z70" i="1" a="1"/>
  <c r="Z70" i="1"/>
  <c r="Y70" i="1" a="1"/>
  <c r="Y70" i="1"/>
  <c r="X70" i="1" a="1"/>
  <c r="X70" i="1"/>
  <c r="AA69" i="1" a="1"/>
  <c r="AA69" i="1"/>
  <c r="Z69" i="1" a="1"/>
  <c r="Z69" i="1" s="1"/>
  <c r="Y69" i="1" a="1"/>
  <c r="Y69" i="1"/>
  <c r="X69" i="1" a="1"/>
  <c r="X69" i="1"/>
  <c r="AA68" i="1" a="1"/>
  <c r="AA68" i="1"/>
  <c r="Z68" i="1" a="1"/>
  <c r="Z68" i="1"/>
  <c r="Y68" i="1" a="1"/>
  <c r="Y68" i="1"/>
  <c r="X68" i="1" a="1"/>
  <c r="X68" i="1"/>
  <c r="AA67" i="1" a="1"/>
  <c r="AA67" i="1"/>
  <c r="Z67" i="1" a="1"/>
  <c r="Z67" i="1"/>
  <c r="Y67" i="1" a="1"/>
  <c r="Y67" i="1" s="1"/>
  <c r="X67" i="1" a="1"/>
  <c r="X67" i="1"/>
  <c r="AA66" i="1" a="1"/>
  <c r="AA66" i="1"/>
  <c r="Z66" i="1" a="1"/>
  <c r="Z66" i="1"/>
  <c r="Y66" i="1" a="1"/>
  <c r="Y66" i="1"/>
  <c r="X66" i="1" a="1"/>
  <c r="X66" i="1"/>
  <c r="AA65" i="1" a="1"/>
  <c r="AA65" i="1"/>
  <c r="Z65" i="1" a="1"/>
  <c r="Z65" i="1" s="1"/>
  <c r="Y65" i="1" a="1"/>
  <c r="Y65" i="1"/>
  <c r="X65" i="1" a="1"/>
  <c r="X65" i="1"/>
  <c r="AA64" i="1" a="1"/>
  <c r="AA64" i="1"/>
  <c r="Z64" i="1" a="1"/>
  <c r="Z64" i="1"/>
  <c r="Y64" i="1" a="1"/>
  <c r="Y64" i="1"/>
  <c r="X64" i="1" a="1"/>
  <c r="X64" i="1"/>
  <c r="AA63" i="1" a="1"/>
  <c r="AA63" i="1"/>
  <c r="Z63" i="1" a="1"/>
  <c r="Z63" i="1"/>
  <c r="Y63" i="1" a="1"/>
  <c r="Y63" i="1" s="1"/>
  <c r="X63" i="1" a="1"/>
  <c r="X63" i="1"/>
  <c r="AA62" i="1" a="1"/>
  <c r="AA62" i="1"/>
  <c r="Z62" i="1" a="1"/>
  <c r="Z62" i="1"/>
  <c r="Y62" i="1" a="1"/>
  <c r="Y62" i="1"/>
  <c r="X62" i="1" a="1"/>
  <c r="X62" i="1"/>
  <c r="AA61" i="1" a="1"/>
  <c r="AA61" i="1"/>
  <c r="Z61" i="1" a="1"/>
  <c r="Z61" i="1" s="1"/>
  <c r="Y61" i="1" a="1"/>
  <c r="Y61" i="1"/>
  <c r="X61" i="1" a="1"/>
  <c r="X61" i="1"/>
  <c r="AA60" i="1" a="1"/>
  <c r="AA60" i="1"/>
  <c r="Z60" i="1" a="1"/>
  <c r="Z60" i="1"/>
  <c r="Y60" i="1" a="1"/>
  <c r="Y60" i="1"/>
  <c r="X60" i="1" a="1"/>
  <c r="X60" i="1"/>
  <c r="AA59" i="1" a="1"/>
  <c r="AA59" i="1"/>
  <c r="Z59" i="1" a="1"/>
  <c r="Z59" i="1"/>
  <c r="Y59" i="1" a="1"/>
  <c r="Y59" i="1" s="1"/>
  <c r="X59" i="1" a="1"/>
  <c r="X59" i="1"/>
  <c r="AA58" i="1" a="1"/>
  <c r="AA58" i="1"/>
  <c r="Z58" i="1" a="1"/>
  <c r="Z58" i="1"/>
  <c r="Y58" i="1" a="1"/>
  <c r="Y58" i="1"/>
  <c r="X58" i="1" a="1"/>
  <c r="X58" i="1"/>
  <c r="AA57" i="1" a="1"/>
  <c r="AA57" i="1"/>
  <c r="Z57" i="1" a="1"/>
  <c r="Z57" i="1" s="1"/>
  <c r="Y57" i="1" a="1"/>
  <c r="Y57" i="1"/>
  <c r="X57" i="1" a="1"/>
  <c r="X57" i="1"/>
  <c r="AA56" i="1" a="1"/>
  <c r="AA56" i="1"/>
  <c r="Z56" i="1" a="1"/>
  <c r="Z56" i="1"/>
  <c r="Y56" i="1" a="1"/>
  <c r="Y56" i="1"/>
  <c r="X56" i="1" a="1"/>
  <c r="X56" i="1"/>
  <c r="AA55" i="1" a="1"/>
  <c r="AA55" i="1"/>
  <c r="Z55" i="1" a="1"/>
  <c r="Z55" i="1"/>
  <c r="Y55" i="1" a="1"/>
  <c r="Y55" i="1" s="1"/>
  <c r="X55" i="1" a="1"/>
  <c r="X55" i="1"/>
  <c r="AA54" i="1" a="1"/>
  <c r="AA54" i="1"/>
  <c r="Z54" i="1" a="1"/>
  <c r="Z54" i="1"/>
  <c r="Y54" i="1" a="1"/>
  <c r="Y54" i="1"/>
  <c r="X54" i="1" a="1"/>
  <c r="X54" i="1"/>
  <c r="AA53" i="1" a="1"/>
  <c r="AA53" i="1"/>
  <c r="Z53" i="1" a="1"/>
  <c r="Z53" i="1" s="1"/>
  <c r="Y53" i="1" a="1"/>
  <c r="Y53" i="1"/>
  <c r="X53" i="1" a="1"/>
  <c r="X53" i="1"/>
  <c r="AA52" i="1" a="1"/>
  <c r="AA52" i="1"/>
  <c r="Z52" i="1" a="1"/>
  <c r="Z52" i="1"/>
  <c r="Y52" i="1" a="1"/>
  <c r="Y52" i="1"/>
  <c r="X52" i="1" a="1"/>
  <c r="X52" i="1"/>
  <c r="AA51" i="1" a="1"/>
  <c r="AA51" i="1"/>
  <c r="Z51" i="1" a="1"/>
  <c r="Z51" i="1"/>
  <c r="Y51" i="1" a="1"/>
  <c r="Y51" i="1" s="1"/>
  <c r="X51" i="1" a="1"/>
  <c r="X51" i="1"/>
  <c r="AA50" i="1" a="1"/>
  <c r="AA50" i="1"/>
  <c r="Z50" i="1" a="1"/>
  <c r="Z50" i="1"/>
  <c r="Y50" i="1" a="1"/>
  <c r="Y50" i="1"/>
  <c r="X50" i="1" a="1"/>
  <c r="X50" i="1"/>
  <c r="AA49" i="1" a="1"/>
  <c r="AA49" i="1"/>
  <c r="Z49" i="1" a="1"/>
  <c r="Z49" i="1" s="1"/>
  <c r="Y49" i="1" a="1"/>
  <c r="Y49" i="1"/>
  <c r="X49" i="1" a="1"/>
  <c r="X49" i="1"/>
  <c r="AA48" i="1" a="1"/>
  <c r="AA48" i="1"/>
  <c r="Z48" i="1" a="1"/>
  <c r="Z48" i="1"/>
  <c r="Y48" i="1" a="1"/>
  <c r="Y48" i="1"/>
  <c r="X48" i="1" a="1"/>
  <c r="X48" i="1"/>
  <c r="AA47" i="1" a="1"/>
  <c r="AA47" i="1"/>
  <c r="Z47" i="1" a="1"/>
  <c r="Z47" i="1"/>
  <c r="Y47" i="1" a="1"/>
  <c r="Y47" i="1" s="1"/>
  <c r="X47" i="1" a="1"/>
  <c r="X47" i="1"/>
  <c r="AA46" i="1" a="1"/>
  <c r="AA46" i="1"/>
  <c r="Z46" i="1" a="1"/>
  <c r="Z46" i="1"/>
  <c r="Y46" i="1" a="1"/>
  <c r="Y46" i="1"/>
  <c r="X46" i="1" a="1"/>
  <c r="X46" i="1"/>
  <c r="AA45" i="1" a="1"/>
  <c r="AA45" i="1"/>
  <c r="Z45" i="1" a="1"/>
  <c r="Z45" i="1" s="1"/>
  <c r="Y45" i="1" a="1"/>
  <c r="Y45" i="1"/>
  <c r="X45" i="1" a="1"/>
  <c r="X45" i="1"/>
  <c r="AA44" i="1" a="1"/>
  <c r="AA44" i="1"/>
  <c r="Z44" i="1" a="1"/>
  <c r="Z44" i="1"/>
  <c r="Y44" i="1" a="1"/>
  <c r="Y44" i="1"/>
  <c r="X44" i="1" a="1"/>
  <c r="X44" i="1"/>
  <c r="AA43" i="1" a="1"/>
  <c r="AA43" i="1"/>
  <c r="Z43" i="1" a="1"/>
  <c r="Z43" i="1"/>
  <c r="Y43" i="1" a="1"/>
  <c r="Y43" i="1" s="1"/>
  <c r="X43" i="1" a="1"/>
  <c r="X43" i="1"/>
  <c r="AA42" i="1" a="1"/>
  <c r="AA42" i="1"/>
  <c r="Z42" i="1" a="1"/>
  <c r="Z42" i="1"/>
  <c r="Y42" i="1" a="1"/>
  <c r="Y42" i="1"/>
  <c r="X42" i="1" a="1"/>
  <c r="X42" i="1"/>
  <c r="AA41" i="1" a="1"/>
  <c r="AA41" i="1"/>
  <c r="Z41" i="1" a="1"/>
  <c r="Z41" i="1" s="1"/>
  <c r="Y41" i="1" a="1"/>
  <c r="Y41" i="1"/>
  <c r="X41" i="1" a="1"/>
  <c r="X41" i="1"/>
  <c r="AA40" i="1" a="1"/>
  <c r="AA40" i="1"/>
  <c r="Z40" i="1" a="1"/>
  <c r="Z40" i="1"/>
  <c r="Y40" i="1" a="1"/>
  <c r="Y40" i="1"/>
  <c r="X40" i="1" a="1"/>
  <c r="X40" i="1"/>
  <c r="AA39" i="1" a="1"/>
  <c r="AA39" i="1"/>
  <c r="Z39" i="1" a="1"/>
  <c r="Z39" i="1"/>
  <c r="Y39" i="1" a="1"/>
  <c r="Y39" i="1" s="1"/>
  <c r="X39" i="1" a="1"/>
  <c r="X39" i="1"/>
  <c r="AA38" i="1" a="1"/>
  <c r="AA38" i="1"/>
  <c r="Z38" i="1" a="1"/>
  <c r="Z38" i="1"/>
  <c r="Y38" i="1" a="1"/>
  <c r="Y38" i="1"/>
  <c r="X38" i="1" a="1"/>
  <c r="X38" i="1"/>
  <c r="AA37" i="1" a="1"/>
  <c r="AA37" i="1"/>
  <c r="Z37" i="1" a="1"/>
  <c r="Z37" i="1" s="1"/>
  <c r="Y37" i="1" a="1"/>
  <c r="Y37" i="1"/>
  <c r="X37" i="1" a="1"/>
  <c r="X37" i="1"/>
  <c r="AA36" i="1" a="1"/>
  <c r="AA36" i="1"/>
  <c r="Z36" i="1" a="1"/>
  <c r="Z36" i="1"/>
  <c r="Y36" i="1" a="1"/>
  <c r="Y36" i="1"/>
  <c r="X36" i="1" a="1"/>
  <c r="X36" i="1"/>
  <c r="AA35" i="1" a="1"/>
  <c r="AA35" i="1"/>
  <c r="Z35" i="1" a="1"/>
  <c r="Z35" i="1"/>
  <c r="Y35" i="1" a="1"/>
  <c r="Y35" i="1" s="1"/>
  <c r="X35" i="1" a="1"/>
  <c r="X35" i="1"/>
  <c r="AA34" i="1" a="1"/>
  <c r="AA34" i="1"/>
  <c r="Z34" i="1" a="1"/>
  <c r="Z34" i="1"/>
  <c r="Y34" i="1" a="1"/>
  <c r="Y34" i="1"/>
  <c r="X34" i="1" a="1"/>
  <c r="X34" i="1"/>
  <c r="AA33" i="1" a="1"/>
  <c r="AA33" i="1"/>
  <c r="Z33" i="1" a="1"/>
  <c r="Z33" i="1" s="1"/>
  <c r="Y33" i="1" a="1"/>
  <c r="Y33" i="1"/>
  <c r="X33" i="1" a="1"/>
  <c r="X33" i="1"/>
  <c r="AA32" i="1" a="1"/>
  <c r="AA32" i="1"/>
  <c r="Z32" i="1" a="1"/>
  <c r="Z32" i="1"/>
  <c r="Y32" i="1" a="1"/>
  <c r="Y32" i="1"/>
  <c r="X32" i="1" a="1"/>
  <c r="X32" i="1"/>
  <c r="AA31" i="1" a="1"/>
  <c r="AA31" i="1"/>
  <c r="Z31" i="1" a="1"/>
  <c r="Z31" i="1"/>
  <c r="Y31" i="1" a="1"/>
  <c r="Y31" i="1" s="1"/>
  <c r="X31" i="1" a="1"/>
  <c r="X31" i="1"/>
  <c r="AA30" i="1" a="1"/>
  <c r="AA30" i="1"/>
  <c r="Z30" i="1" a="1"/>
  <c r="Z30" i="1"/>
  <c r="Y30" i="1" a="1"/>
  <c r="Y30" i="1"/>
  <c r="X30" i="1" a="1"/>
  <c r="X30" i="1"/>
  <c r="AA29" i="1" a="1"/>
  <c r="AA29" i="1"/>
  <c r="Z29" i="1" a="1"/>
  <c r="Z29" i="1" s="1"/>
  <c r="Y29" i="1" a="1"/>
  <c r="Y29" i="1"/>
  <c r="X29" i="1" a="1"/>
  <c r="X29" i="1"/>
  <c r="AA28" i="1" a="1"/>
  <c r="AA28" i="1"/>
  <c r="Z28" i="1" a="1"/>
  <c r="Z28" i="1"/>
  <c r="Y28" i="1" a="1"/>
  <c r="Y28" i="1"/>
  <c r="X28" i="1" a="1"/>
  <c r="X28" i="1"/>
  <c r="AA27" i="1" a="1"/>
  <c r="AA27" i="1"/>
  <c r="Z27" i="1" a="1"/>
  <c r="Z27" i="1"/>
  <c r="Y27" i="1" a="1"/>
  <c r="Y27" i="1" s="1"/>
  <c r="X27" i="1" a="1"/>
  <c r="X27" i="1"/>
  <c r="AA26" i="1" a="1"/>
  <c r="AA26" i="1"/>
  <c r="Z26" i="1" a="1"/>
  <c r="Z26" i="1" s="1"/>
  <c r="Y26" i="1" a="1"/>
  <c r="Y26" i="1"/>
  <c r="X26" i="1" a="1"/>
  <c r="X26" i="1"/>
  <c r="AA25" i="1" a="1"/>
  <c r="AA25" i="1"/>
  <c r="Z25" i="1" a="1"/>
  <c r="Z25" i="1" s="1"/>
  <c r="Y25" i="1" a="1"/>
  <c r="Y25" i="1"/>
  <c r="X25" i="1" a="1"/>
  <c r="X25" i="1"/>
  <c r="AA24" i="1" a="1"/>
  <c r="AA24" i="1"/>
  <c r="Z24" i="1" a="1"/>
  <c r="Z24" i="1"/>
  <c r="Y24" i="1" a="1"/>
  <c r="Y24" i="1"/>
  <c r="X24" i="1" a="1"/>
  <c r="X24" i="1"/>
  <c r="AA23" i="1" a="1"/>
  <c r="AA23" i="1" s="1"/>
  <c r="Z23" i="1" a="1"/>
  <c r="Z23" i="1"/>
  <c r="Y23" i="1" a="1"/>
  <c r="Y23" i="1" s="1"/>
  <c r="X23" i="1" a="1"/>
  <c r="X23" i="1"/>
  <c r="AA22" i="1" a="1"/>
  <c r="AA22" i="1"/>
  <c r="Z22" i="1" a="1"/>
  <c r="Z22" i="1"/>
  <c r="Y22" i="1" a="1"/>
  <c r="Y22" i="1"/>
  <c r="X22" i="1" a="1"/>
  <c r="X22" i="1"/>
  <c r="AA21" i="1" a="1"/>
  <c r="AA21" i="1"/>
  <c r="Z21" i="1" a="1"/>
  <c r="Z21" i="1" s="1"/>
  <c r="Y21" i="1" a="1"/>
  <c r="Y21" i="1"/>
  <c r="X21" i="1" a="1"/>
  <c r="X21" i="1"/>
  <c r="AA20" i="1" a="1"/>
  <c r="AA20" i="1"/>
  <c r="Z20" i="1" a="1"/>
  <c r="Z20" i="1"/>
  <c r="Y20" i="1" a="1"/>
  <c r="Y20" i="1"/>
  <c r="X20" i="1" a="1"/>
  <c r="X20" i="1"/>
  <c r="AA19" i="1" a="1"/>
  <c r="AA19" i="1"/>
  <c r="Z19" i="1" a="1"/>
  <c r="Z19" i="1"/>
  <c r="Y19" i="1" a="1"/>
  <c r="Y19" i="1" s="1"/>
  <c r="X19" i="1" a="1"/>
  <c r="X19" i="1"/>
  <c r="AA18" i="1" a="1"/>
  <c r="AA18" i="1"/>
  <c r="Z18" i="1" a="1"/>
  <c r="Z18" i="1"/>
  <c r="Y18" i="1" a="1"/>
  <c r="Y18" i="1"/>
  <c r="X18" i="1" a="1"/>
  <c r="X18" i="1"/>
  <c r="AA17" i="1" a="1"/>
  <c r="AA17" i="1"/>
  <c r="Z17" i="1" a="1"/>
  <c r="Z17" i="1" s="1"/>
  <c r="Y17" i="1" a="1"/>
  <c r="Y17" i="1"/>
  <c r="X17" i="1" a="1"/>
  <c r="X17" i="1"/>
  <c r="AA16" i="1" a="1"/>
  <c r="AA16" i="1"/>
  <c r="Z16" i="1" a="1"/>
  <c r="Z16" i="1"/>
  <c r="Y16" i="1" a="1"/>
  <c r="Y16" i="1"/>
  <c r="X16" i="1" a="1"/>
  <c r="X16" i="1"/>
  <c r="AA15" i="1" a="1"/>
  <c r="AA15" i="1"/>
  <c r="Z15" i="1" a="1"/>
  <c r="Z15" i="1"/>
  <c r="Y15" i="1" a="1"/>
  <c r="Y15" i="1" s="1"/>
  <c r="X15" i="1" a="1"/>
  <c r="X15" i="1"/>
  <c r="AA14" i="1" a="1"/>
  <c r="AA14" i="1"/>
  <c r="Z14" i="1" a="1"/>
  <c r="Z14" i="1"/>
  <c r="Y14" i="1" a="1"/>
  <c r="Y14" i="1"/>
  <c r="X14" i="1" a="1"/>
  <c r="X14" i="1"/>
  <c r="AA13" i="1" a="1"/>
  <c r="AA13" i="1"/>
  <c r="Z13" i="1" a="1"/>
  <c r="Z13" i="1" s="1"/>
  <c r="Y13" i="1" a="1"/>
  <c r="Y13" i="1"/>
  <c r="X13" i="1" a="1"/>
  <c r="X13" i="1"/>
  <c r="AA12" i="1" a="1"/>
  <c r="AA12" i="1"/>
  <c r="Z12" i="1" a="1"/>
  <c r="Z12" i="1"/>
  <c r="Y12" i="1" a="1"/>
  <c r="Y12" i="1"/>
  <c r="X12" i="1" a="1"/>
  <c r="X12" i="1"/>
  <c r="AA11" i="1" a="1"/>
  <c r="AA11" i="1"/>
  <c r="Z11" i="1" a="1"/>
  <c r="Z11" i="1"/>
  <c r="Y11" i="1" a="1"/>
  <c r="Y11" i="1" s="1"/>
  <c r="X11" i="1" a="1"/>
  <c r="X11" i="1"/>
  <c r="AA10" i="1" a="1"/>
  <c r="AA10" i="1"/>
  <c r="Z10" i="1" a="1"/>
  <c r="Z10" i="1"/>
  <c r="Y10" i="1" a="1"/>
  <c r="Y10" i="1"/>
  <c r="X10" i="1" a="1"/>
  <c r="X10" i="1"/>
  <c r="AA9" i="1" a="1"/>
  <c r="AA9" i="1"/>
  <c r="Z9" i="1" a="1"/>
  <c r="Z9" i="1" s="1"/>
  <c r="Y9" i="1" a="1"/>
  <c r="Y9" i="1"/>
  <c r="X9" i="1" a="1"/>
  <c r="X9" i="1"/>
  <c r="AA8" i="1" a="1"/>
  <c r="AA8" i="1"/>
  <c r="Z8" i="1" a="1"/>
  <c r="Z8" i="1"/>
  <c r="Y8" i="1" a="1"/>
  <c r="Y8" i="1"/>
  <c r="X8" i="1" a="1"/>
  <c r="X8" i="1"/>
  <c r="AA7" i="1" a="1"/>
  <c r="AA7" i="1"/>
  <c r="Z7" i="1" a="1"/>
  <c r="Z7" i="1"/>
  <c r="Y7" i="1" a="1"/>
  <c r="Y7" i="1" s="1"/>
  <c r="X7" i="1" a="1"/>
  <c r="X7" i="1"/>
  <c r="AA6" i="1" a="1"/>
  <c r="AA6" i="1"/>
  <c r="Z6" i="1" a="1"/>
  <c r="Z6" i="1" s="1"/>
  <c r="Y6" i="1" a="1"/>
  <c r="Y6" i="1"/>
  <c r="X6" i="1" a="1"/>
  <c r="X6" i="1"/>
  <c r="AA5" i="1" a="1"/>
  <c r="AA5" i="1"/>
  <c r="Z5" i="1" a="1"/>
  <c r="Z5" i="1" s="1"/>
  <c r="Y5" i="1" a="1"/>
  <c r="Y5" i="1"/>
  <c r="X5" i="1" a="1"/>
  <c r="X5" i="1"/>
  <c r="AA4" i="1" a="1"/>
  <c r="AA4" i="1"/>
  <c r="Z4" i="1" a="1"/>
  <c r="Z4" i="1"/>
  <c r="Y4" i="1" a="1"/>
  <c r="Y4" i="1"/>
  <c r="X4" i="1" a="1"/>
  <c r="X4" i="1"/>
  <c r="AE13" i="2" l="1" a="1"/>
  <c r="AE13" i="2" s="1"/>
  <c r="AC13" i="2" a="1"/>
  <c r="AC13" i="2" s="1"/>
  <c r="AD13" i="2" a="1"/>
  <c r="AD13" i="2" s="1"/>
</calcChain>
</file>

<file path=xl/sharedStrings.xml><?xml version="1.0" encoding="utf-8"?>
<sst xmlns="http://schemas.openxmlformats.org/spreadsheetml/2006/main" count="304" uniqueCount="68">
  <si>
    <t>Experiment Results</t>
  </si>
  <si>
    <t>SOTA</t>
  </si>
  <si>
    <t>Models</t>
  </si>
  <si>
    <t>DD-Mamba</t>
  </si>
  <si>
    <t>TimeMixer(2024)</t>
  </si>
  <si>
    <t>S-Mamba(2024)</t>
  </si>
  <si>
    <t>iTransformer(2024)</t>
  </si>
  <si>
    <t>PatchTST(2023)</t>
  </si>
  <si>
    <t>Crossformer(2023)</t>
  </si>
  <si>
    <t>TiDE(2023)</t>
  </si>
  <si>
    <t>TimesNet(2023)</t>
  </si>
  <si>
    <t>Dlinear(2023)</t>
  </si>
  <si>
    <t>AutoFormer(2021)</t>
  </si>
  <si>
    <t>1st min</t>
  </si>
  <si>
    <t>2nd min</t>
  </si>
  <si>
    <t>Metric</t>
  </si>
  <si>
    <t>MSE</t>
  </si>
  <si>
    <t>MAE</t>
  </si>
  <si>
    <t>ETTm1</t>
  </si>
  <si>
    <t>Avg</t>
  </si>
  <si>
    <t>ETTm2</t>
  </si>
  <si>
    <t>ETTh1</t>
  </si>
  <si>
    <t>ETTh2</t>
  </si>
  <si>
    <t>ECL</t>
  </si>
  <si>
    <t>Exchange</t>
  </si>
  <si>
    <t>Weather</t>
  </si>
  <si>
    <t>Solar</t>
  </si>
  <si>
    <t>Traffic</t>
  </si>
  <si>
    <t>PEMS03</t>
  </si>
  <si>
    <t>PEMS04</t>
  </si>
  <si>
    <t>PEMS07</t>
  </si>
  <si>
    <t>PEMS08</t>
  </si>
  <si>
    <t>Illness</t>
  </si>
  <si>
    <t>Config</t>
  </si>
  <si>
    <t>Dataset</t>
  </si>
  <si>
    <t>Model</t>
  </si>
  <si>
    <t>Parameter</t>
  </si>
  <si>
    <t>enc_in</t>
  </si>
  <si>
    <t>time_
encoder</t>
  </si>
  <si>
    <t>mixer_
layers</t>
  </si>
  <si>
    <t>mixer_
placement</t>
  </si>
  <si>
    <t>d_model</t>
  </si>
  <si>
    <t>mamba_
layers</t>
  </si>
  <si>
    <t>mamba_
d_state</t>
  </si>
  <si>
    <t>freq_
backbone</t>
  </si>
  <si>
    <t>freq_
hidden</t>
  </si>
  <si>
    <t>time_
kernel</t>
  </si>
  <si>
    <t>freq_
sparsity</t>
  </si>
  <si>
    <t>dropout</t>
  </si>
  <si>
    <t>lr</t>
  </si>
  <si>
    <t>mamba</t>
  </si>
  <si>
    <t>shared</t>
  </si>
  <si>
    <t>fits</t>
  </si>
  <si>
    <t>both</t>
  </si>
  <si>
    <t>SST</t>
  </si>
  <si>
    <t>Electricity</t>
  </si>
  <si>
    <t>interPDN(2026)</t>
  </si>
  <si>
    <t>BiMamba4TS+(2024)</t>
  </si>
  <si>
    <t>S-Mamba Paper</t>
  </si>
  <si>
    <t>UniMamba</t>
  </si>
  <si>
    <t>Recast(2026)</t>
  </si>
  <si>
    <t>Dlinear(2022)</t>
  </si>
  <si>
    <t>FEDformer(2022)</t>
  </si>
  <si>
    <t>Autoformer(2021)</t>
  </si>
  <si>
    <t>Length</t>
  </si>
  <si>
    <t>Len</t>
  </si>
  <si>
    <t>S-Mamba(2025)</t>
  </si>
  <si>
    <t>Solar-Energy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</si>
</sst>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E+00"/>
  </numFmts>
  <fonts count="14" x14ac:knownFonts="1">
    <font>
      <sz val="11"/>
      <color theme="1"/>
      <name val="宋体"/>
      <family val="2"/>
      <scheme val="minor"/>
    </font>
    <font>
      <b/>
      <sz val="12"/>
      <color theme="1"/>
      <name val="宋体"/>
      <family val="2"/>
      <scheme val="maj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2"/>
      <color theme="1"/>
      <name val="Aptos"/>
      <family val="2"/>
    </font>
    <font>
      <b/>
      <i/>
      <sz val="12"/>
      <color theme="1"/>
      <name val="Aptos"/>
      <family val="2"/>
    </font>
    <font>
      <sz val="12"/>
      <color theme="1"/>
      <name val="宋体"/>
      <family val="2"/>
      <scheme val="minor"/>
    </font>
    <font>
      <sz val="9"/>
      <color theme="1"/>
      <name val="Aptos"/>
      <family val="2"/>
    </font>
    <font>
      <b/>
      <sz val="10"/>
      <color theme="1"/>
      <name val="Aptos"/>
      <family val="2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9"/>
      <color theme="1"/>
      <name val="Aptos"/>
      <family val="2"/>
    </font>
    <font>
      <sz val="10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DEDB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4" fillId="0" borderId="0" xfId="0" applyFont="1"/>
    <xf numFmtId="176" fontId="3" fillId="7" borderId="0" xfId="0" applyNumberFormat="1" applyFont="1" applyFill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3" fillId="0" borderId="1" xfId="0" applyFont="1" applyBorder="1"/>
    <xf numFmtId="176" fontId="6" fillId="7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76" fontId="7" fillId="5" borderId="1" xfId="0" applyNumberFormat="1" applyFont="1" applyFill="1" applyBorder="1"/>
    <xf numFmtId="0" fontId="3" fillId="0" borderId="2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1" fillId="0" borderId="1" xfId="0" applyFont="1" applyBorder="1"/>
    <xf numFmtId="0" fontId="8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/>
    </xf>
    <xf numFmtId="177" fontId="4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right" vertical="center"/>
    </xf>
    <xf numFmtId="176" fontId="5" fillId="0" borderId="9" xfId="0" applyNumberFormat="1" applyFont="1" applyBorder="1" applyAlignment="1">
      <alignment horizontal="right" vertical="center"/>
    </xf>
    <xf numFmtId="176" fontId="5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right" vertical="center"/>
    </xf>
    <xf numFmtId="11" fontId="4" fillId="0" borderId="9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76" fontId="3" fillId="0" borderId="1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4" fillId="3" borderId="9" xfId="0" applyFont="1" applyFill="1" applyBorder="1" applyAlignment="1">
      <alignment horizontal="center"/>
    </xf>
    <xf numFmtId="0" fontId="0" fillId="0" borderId="11" xfId="0" applyBorder="1"/>
    <xf numFmtId="0" fontId="4" fillId="2" borderId="9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176" fontId="5" fillId="9" borderId="9" xfId="0" applyNumberFormat="1" applyFont="1" applyFill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1" fontId="4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4" fillId="0" borderId="1" xfId="0" applyFont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0" xfId="0" applyFont="1" applyBorder="1"/>
    <xf numFmtId="176" fontId="4" fillId="0" borderId="9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/>
  </cellXfs>
  <cellStyles count="1">
    <cellStyle name="常规" xfId="0" builtinId="0"/>
  </cellStyles>
  <dxfs count="43">
    <dxf>
      <font>
        <b/>
        <color rgb="FFC00000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theme="8"/>
      </font>
    </dxf>
    <dxf>
      <font>
        <b/>
        <color rgb="FFC00000"/>
      </font>
    </dxf>
    <dxf>
      <font>
        <b/>
        <color rgb="FFC00000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rgb="FFC00000"/>
      </font>
    </dxf>
    <dxf>
      <font>
        <b/>
        <color rgb="FFC00000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theme="8"/>
      </font>
    </dxf>
    <dxf>
      <font>
        <b/>
        <color rgb="FFC00000"/>
      </font>
    </dxf>
    <dxf>
      <font>
        <b/>
        <color rgb="FFC00000"/>
      </font>
    </dxf>
    <dxf>
      <font>
        <b/>
        <color theme="8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theme="8"/>
      </font>
    </dxf>
    <dxf>
      <font>
        <b/>
        <color rgb="FFC00000"/>
      </font>
    </dxf>
    <dxf>
      <font>
        <b/>
        <color rgb="FFC00000"/>
      </font>
    </dxf>
    <dxf>
      <font>
        <b/>
        <color theme="8"/>
      </font>
    </dxf>
    <dxf>
      <font>
        <b/>
        <color theme="8"/>
      </font>
    </dxf>
    <dxf>
      <font>
        <b/>
        <color rgb="FFC00000"/>
      </font>
    </dxf>
    <dxf>
      <font>
        <b/>
        <color theme="8"/>
      </font>
    </dxf>
    <dxf>
      <font>
        <b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3"/>
  <sheetViews>
    <sheetView tabSelected="1" zoomScale="70" zoomScaleNormal="70" workbookViewId="0">
      <selection activeCell="P14" sqref="P14"/>
    </sheetView>
  </sheetViews>
  <sheetFormatPr defaultRowHeight="14.4" x14ac:dyDescent="0.25"/>
  <cols>
    <col min="1" max="1" width="14.109375" customWidth="1"/>
    <col min="2" max="2" width="11.21875" customWidth="1"/>
    <col min="3" max="22" width="12" customWidth="1"/>
    <col min="29" max="29" width="11.21875" customWidth="1"/>
    <col min="85" max="85" width="11.21875" customWidth="1"/>
  </cols>
  <sheetData>
    <row r="1" spans="1:27" ht="15.6" customHeight="1" x14ac:dyDescent="0.3">
      <c r="A1" s="62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X1" s="58" t="s">
        <v>1</v>
      </c>
      <c r="Y1" s="56"/>
      <c r="Z1" s="56"/>
      <c r="AA1" s="54"/>
    </row>
    <row r="2" spans="1:27" ht="15.6" customHeight="1" x14ac:dyDescent="0.3">
      <c r="A2" s="76" t="s">
        <v>2</v>
      </c>
      <c r="B2" s="80"/>
      <c r="C2" s="61" t="s">
        <v>3</v>
      </c>
      <c r="D2" s="80"/>
      <c r="E2" s="53" t="s">
        <v>4</v>
      </c>
      <c r="F2" s="80"/>
      <c r="G2" s="53" t="s">
        <v>5</v>
      </c>
      <c r="H2" s="80"/>
      <c r="I2" s="53" t="s">
        <v>6</v>
      </c>
      <c r="J2" s="80"/>
      <c r="K2" s="53" t="s">
        <v>7</v>
      </c>
      <c r="L2" s="80"/>
      <c r="M2" s="53" t="s">
        <v>8</v>
      </c>
      <c r="N2" s="80"/>
      <c r="O2" s="53" t="s">
        <v>9</v>
      </c>
      <c r="P2" s="80"/>
      <c r="Q2" s="53" t="s">
        <v>10</v>
      </c>
      <c r="R2" s="80"/>
      <c r="S2" s="53" t="s">
        <v>11</v>
      </c>
      <c r="T2" s="80"/>
      <c r="U2" s="53" t="s">
        <v>12</v>
      </c>
      <c r="V2" s="80"/>
      <c r="W2" s="11"/>
      <c r="X2" s="53" t="s">
        <v>13</v>
      </c>
      <c r="Y2" s="80"/>
      <c r="Z2" s="53" t="s">
        <v>14</v>
      </c>
      <c r="AA2" s="80"/>
    </row>
    <row r="3" spans="1:27" ht="15.6" customHeight="1" x14ac:dyDescent="0.3">
      <c r="A3" s="77" t="s">
        <v>15</v>
      </c>
      <c r="B3" s="81"/>
      <c r="C3" s="18" t="s">
        <v>16</v>
      </c>
      <c r="D3" s="11" t="s">
        <v>17</v>
      </c>
      <c r="E3" s="20" t="s">
        <v>16</v>
      </c>
      <c r="F3" s="11" t="s">
        <v>17</v>
      </c>
      <c r="G3" s="45" t="s">
        <v>16</v>
      </c>
      <c r="H3" s="11" t="s">
        <v>17</v>
      </c>
      <c r="I3" s="20" t="s">
        <v>16</v>
      </c>
      <c r="J3" s="11" t="s">
        <v>17</v>
      </c>
      <c r="K3" s="20" t="s">
        <v>16</v>
      </c>
      <c r="L3" s="11" t="s">
        <v>17</v>
      </c>
      <c r="M3" s="20" t="s">
        <v>16</v>
      </c>
      <c r="N3" s="11" t="s">
        <v>17</v>
      </c>
      <c r="O3" s="20" t="s">
        <v>16</v>
      </c>
      <c r="P3" s="11" t="s">
        <v>17</v>
      </c>
      <c r="Q3" s="20" t="s">
        <v>16</v>
      </c>
      <c r="R3" s="11" t="s">
        <v>17</v>
      </c>
      <c r="S3" s="20" t="s">
        <v>16</v>
      </c>
      <c r="T3" s="11" t="s">
        <v>17</v>
      </c>
      <c r="U3" s="45" t="s">
        <v>16</v>
      </c>
      <c r="V3" s="45" t="s">
        <v>17</v>
      </c>
      <c r="W3" s="11"/>
      <c r="X3" s="20" t="s">
        <v>16</v>
      </c>
      <c r="Y3" s="11" t="s">
        <v>17</v>
      </c>
      <c r="Z3" s="11" t="s">
        <v>16</v>
      </c>
      <c r="AA3" s="20" t="s">
        <v>17</v>
      </c>
    </row>
    <row r="4" spans="1:27" ht="13.8" customHeight="1" x14ac:dyDescent="0.3">
      <c r="A4" s="77" t="s">
        <v>18</v>
      </c>
      <c r="B4" s="18">
        <v>96</v>
      </c>
      <c r="C4" s="6"/>
      <c r="D4" s="6"/>
      <c r="E4" s="44">
        <v>0.32</v>
      </c>
      <c r="F4" s="44">
        <v>0.35699999999999998</v>
      </c>
      <c r="G4" s="44">
        <v>0.33300000000000002</v>
      </c>
      <c r="H4" s="44">
        <v>0.36799999999999999</v>
      </c>
      <c r="I4" s="6">
        <v>0.33400000000000002</v>
      </c>
      <c r="J4" s="6">
        <v>0.36799999999999999</v>
      </c>
      <c r="K4" s="6">
        <v>0.32900000000000001</v>
      </c>
      <c r="L4" s="6">
        <v>0.36699999999999999</v>
      </c>
      <c r="M4" s="6">
        <v>0.40400000000000003</v>
      </c>
      <c r="N4" s="6">
        <v>0.42599999999999999</v>
      </c>
      <c r="O4" s="6">
        <v>0.36399999999999999</v>
      </c>
      <c r="P4" s="6">
        <v>0.38700000000000001</v>
      </c>
      <c r="Q4" s="6">
        <v>0.33800000000000002</v>
      </c>
      <c r="R4" s="6">
        <v>0.375</v>
      </c>
      <c r="S4" s="44">
        <v>0.34499999999999997</v>
      </c>
      <c r="T4" s="44">
        <v>0.372</v>
      </c>
      <c r="U4" s="44">
        <v>0.505</v>
      </c>
      <c r="V4" s="44">
        <v>0.47499999999999998</v>
      </c>
      <c r="W4" s="1"/>
      <c r="X4" s="6">
        <f t="array" ref="X4">SMALL(IF(MOD(COLUMN(C4:U4),2)=1, IF(ISNUMBER(C4:U4), C4:U4)), 1)</f>
        <v>0.32</v>
      </c>
      <c r="Y4" s="6">
        <f t="array" ref="Y4">SMALL(IF(MOD(COLUMN(D4:V4),2)=0, IF(ISNUMBER(D4:V4), D4:V4)), 1)</f>
        <v>0.35699999999999998</v>
      </c>
      <c r="Z4" s="6">
        <f t="array" ref="Z4">SMALL(IF(MOD(COLUMN(C4:U4),2)=1, IF(ISNUMBER(C4:U4), C4:U4)), 2)</f>
        <v>0.32900000000000001</v>
      </c>
      <c r="AA4" s="6">
        <f t="array" ref="AA4">SMALL(IF(MOD(COLUMN(D4:V4),2)=0, IF(ISNUMBER(D4:V4), D4:V4)), 2)</f>
        <v>0.36699999999999999</v>
      </c>
    </row>
    <row r="5" spans="1:27" ht="13.8" customHeight="1" x14ac:dyDescent="0.3">
      <c r="A5" s="78"/>
      <c r="B5" s="18">
        <v>192</v>
      </c>
      <c r="C5" s="6"/>
      <c r="D5" s="6"/>
      <c r="E5" s="44">
        <v>0.36099999999999999</v>
      </c>
      <c r="F5" s="44">
        <v>0.38100000000000001</v>
      </c>
      <c r="G5" s="44">
        <v>0.376</v>
      </c>
      <c r="H5" s="44">
        <v>0.39</v>
      </c>
      <c r="I5" s="6">
        <v>0.377</v>
      </c>
      <c r="J5" s="6">
        <v>0.39100000000000001</v>
      </c>
      <c r="K5" s="6">
        <v>0.36699999999999999</v>
      </c>
      <c r="L5" s="6">
        <v>0.38500000000000001</v>
      </c>
      <c r="M5" s="6">
        <v>0.45</v>
      </c>
      <c r="N5" s="6">
        <v>0.45100000000000001</v>
      </c>
      <c r="O5" s="6">
        <v>0.39800000000000002</v>
      </c>
      <c r="P5" s="6">
        <v>0.40400000000000003</v>
      </c>
      <c r="Q5" s="6">
        <v>0.374</v>
      </c>
      <c r="R5" s="6">
        <v>0.38700000000000001</v>
      </c>
      <c r="S5" s="44">
        <v>0.38</v>
      </c>
      <c r="T5" s="44">
        <v>0.38900000000000001</v>
      </c>
      <c r="U5" s="44">
        <v>0.55300000000000005</v>
      </c>
      <c r="V5" s="44">
        <v>0.496</v>
      </c>
      <c r="W5" s="1"/>
      <c r="X5" s="6">
        <f t="array" ref="X5">SMALL(IF(MOD(COLUMN(C5:U5),2)=1, IF(ISNUMBER(C5:U5), C5:U5)), 1)</f>
        <v>0.36099999999999999</v>
      </c>
      <c r="Y5" s="6">
        <f t="array" ref="Y5">SMALL(IF(MOD(COLUMN(D5:V5),2)=0, IF(ISNUMBER(D5:V5), D5:V5)), 1)</f>
        <v>0.38100000000000001</v>
      </c>
      <c r="Z5" s="6">
        <f t="array" ref="Z5">SMALL(IF(MOD(COLUMN(C5:U5),2)=1, IF(ISNUMBER(C5:U5), C5:U5)), 2)</f>
        <v>0.36699999999999999</v>
      </c>
      <c r="AA5" s="6">
        <f t="array" ref="AA5">SMALL(IF(MOD(COLUMN(D5:V5),2)=0, IF(ISNUMBER(D5:V5), D5:V5)), 2)</f>
        <v>0.38500000000000001</v>
      </c>
    </row>
    <row r="6" spans="1:27" ht="13.8" customHeight="1" x14ac:dyDescent="0.3">
      <c r="A6" s="78"/>
      <c r="B6" s="18">
        <v>336</v>
      </c>
      <c r="C6" s="6"/>
      <c r="D6" s="6"/>
      <c r="E6" s="44">
        <v>0.39</v>
      </c>
      <c r="F6" s="44">
        <v>0.40400000000000003</v>
      </c>
      <c r="G6" s="44">
        <v>0.40799999999999997</v>
      </c>
      <c r="H6" s="44">
        <v>0.41299999999999998</v>
      </c>
      <c r="I6" s="6">
        <v>0.42599999999999999</v>
      </c>
      <c r="J6" s="6">
        <v>0.42</v>
      </c>
      <c r="K6" s="6">
        <v>0.39900000000000002</v>
      </c>
      <c r="L6" s="6">
        <v>0.41</v>
      </c>
      <c r="M6" s="6">
        <v>0.53200000000000003</v>
      </c>
      <c r="N6" s="6">
        <v>0.51500000000000001</v>
      </c>
      <c r="O6" s="6">
        <v>0.42799999999999999</v>
      </c>
      <c r="P6" s="6">
        <v>0.42499999999999999</v>
      </c>
      <c r="Q6" s="6">
        <v>0.41</v>
      </c>
      <c r="R6" s="6">
        <v>0.41099999999999998</v>
      </c>
      <c r="S6" s="44">
        <v>0.41299999999999998</v>
      </c>
      <c r="T6" s="44">
        <v>0.41299999999999998</v>
      </c>
      <c r="U6" s="44">
        <v>0.621</v>
      </c>
      <c r="V6" s="44">
        <v>0.53700000000000003</v>
      </c>
      <c r="W6" s="1"/>
      <c r="X6" s="6">
        <f t="array" ref="X6">SMALL(IF(MOD(COLUMN(C6:U6),2)=1, IF(ISNUMBER(C6:U6), C6:U6)), 1)</f>
        <v>0.39</v>
      </c>
      <c r="Y6" s="6">
        <f t="array" ref="Y6">SMALL(IF(MOD(COLUMN(D6:V6),2)=0, IF(ISNUMBER(D6:V6), D6:V6)), 1)</f>
        <v>0.40400000000000003</v>
      </c>
      <c r="Z6" s="6">
        <f t="array" ref="Z6">SMALL(IF(MOD(COLUMN(C6:U6),2)=1, IF(ISNUMBER(C6:U6), C6:U6)), 2)</f>
        <v>0.39900000000000002</v>
      </c>
      <c r="AA6" s="6">
        <f t="array" ref="AA6">SMALL(IF(MOD(COLUMN(D6:V6),2)=0, IF(ISNUMBER(D6:V6), D6:V6)), 2)</f>
        <v>0.41</v>
      </c>
    </row>
    <row r="7" spans="1:27" ht="13.8" customHeight="1" x14ac:dyDescent="0.3">
      <c r="A7" s="78"/>
      <c r="B7" s="18">
        <v>720</v>
      </c>
      <c r="C7" s="6"/>
      <c r="D7" s="6"/>
      <c r="E7" s="44">
        <v>0.45400000000000001</v>
      </c>
      <c r="F7" s="44">
        <v>0.441</v>
      </c>
      <c r="G7" s="44">
        <v>0.47499999999999998</v>
      </c>
      <c r="H7" s="44">
        <v>0.44800000000000001</v>
      </c>
      <c r="I7" s="6">
        <v>0.49099999999999999</v>
      </c>
      <c r="J7" s="6">
        <v>0.45900000000000002</v>
      </c>
      <c r="K7" s="6">
        <v>0.45400000000000001</v>
      </c>
      <c r="L7" s="6">
        <v>0.439</v>
      </c>
      <c r="M7" s="6">
        <v>0.66600000000000004</v>
      </c>
      <c r="N7" s="6">
        <v>0.58899999999999997</v>
      </c>
      <c r="O7" s="6">
        <v>0.48699999999999999</v>
      </c>
      <c r="P7" s="6">
        <v>0.46100000000000002</v>
      </c>
      <c r="Q7" s="6">
        <v>0.47799999999999998</v>
      </c>
      <c r="R7" s="6">
        <v>0.45</v>
      </c>
      <c r="S7" s="44">
        <v>0.47399999999999998</v>
      </c>
      <c r="T7" s="44">
        <v>0.45300000000000001</v>
      </c>
      <c r="U7" s="44">
        <v>0.67100000000000004</v>
      </c>
      <c r="V7" s="44">
        <v>0.56100000000000005</v>
      </c>
      <c r="W7" s="1"/>
      <c r="X7" s="6">
        <f t="array" ref="X7">SMALL(IF(MOD(COLUMN(C7:U7),2)=1, IF(ISNUMBER(C7:U7), C7:U7)), 1)</f>
        <v>0.45400000000000001</v>
      </c>
      <c r="Y7" s="6">
        <f t="array" ref="Y7">SMALL(IF(MOD(COLUMN(D7:V7),2)=0, IF(ISNUMBER(D7:V7), D7:V7)), 1)</f>
        <v>0.439</v>
      </c>
      <c r="Z7" s="6">
        <f t="array" ref="Z7">SMALL(IF(MOD(COLUMN(C7:U7),2)=1, IF(ISNUMBER(C7:U7), C7:U7)), 2)</f>
        <v>0.45400000000000001</v>
      </c>
      <c r="AA7" s="6">
        <f t="array" ref="AA7">SMALL(IF(MOD(COLUMN(D7:V7),2)=0, IF(ISNUMBER(D7:V7), D7:V7)), 2)</f>
        <v>0.441</v>
      </c>
    </row>
    <row r="8" spans="1:27" ht="13.8" customHeight="1" x14ac:dyDescent="0.3">
      <c r="A8" s="79"/>
      <c r="B8" s="18" t="s">
        <v>19</v>
      </c>
      <c r="C8" s="6"/>
      <c r="D8" s="6"/>
      <c r="E8" s="44">
        <v>0.38100000000000001</v>
      </c>
      <c r="F8" s="44">
        <v>0.39500000000000002</v>
      </c>
      <c r="G8" s="44">
        <v>0.39800000000000002</v>
      </c>
      <c r="H8" s="44">
        <v>0.40500000000000003</v>
      </c>
      <c r="I8" s="6">
        <v>0.40699999999999997</v>
      </c>
      <c r="J8" s="6">
        <v>0.40899999999999997</v>
      </c>
      <c r="K8" s="6">
        <v>0.38700000000000001</v>
      </c>
      <c r="L8" s="6">
        <v>0.4</v>
      </c>
      <c r="M8" s="6">
        <v>0.51300000000000001</v>
      </c>
      <c r="N8" s="6">
        <v>0.495</v>
      </c>
      <c r="O8" s="6">
        <v>0.41899999999999998</v>
      </c>
      <c r="P8" s="6">
        <v>0.41899999999999998</v>
      </c>
      <c r="Q8" s="6">
        <v>0.4</v>
      </c>
      <c r="R8" s="6">
        <v>0.40600000000000003</v>
      </c>
      <c r="S8" s="44">
        <v>0.40300000000000002</v>
      </c>
      <c r="T8" s="44">
        <v>0.40699999999999997</v>
      </c>
      <c r="U8" s="44">
        <v>0.58799999999999997</v>
      </c>
      <c r="V8" s="44">
        <v>0.51700000000000002</v>
      </c>
      <c r="W8" s="1"/>
      <c r="X8" s="6">
        <f t="array" ref="X8">SMALL(IF(MOD(COLUMN(C8:U8),2)=1, IF(ISNUMBER(C8:U8), C8:U8)), 1)</f>
        <v>0.38100000000000001</v>
      </c>
      <c r="Y8" s="6">
        <f t="array" ref="Y8">SMALL(IF(MOD(COLUMN(D8:V8),2)=0, IF(ISNUMBER(D8:V8), D8:V8)), 1)</f>
        <v>0.39500000000000002</v>
      </c>
      <c r="Z8" s="6">
        <f t="array" ref="Z8">SMALL(IF(MOD(COLUMN(C8:U8),2)=1, IF(ISNUMBER(C8:U8), C8:U8)), 2)</f>
        <v>0.38700000000000001</v>
      </c>
      <c r="AA8" s="6">
        <f t="array" ref="AA8">SMALL(IF(MOD(COLUMN(D8:V8),2)=0, IF(ISNUMBER(D8:V8), D8:V8)), 2)</f>
        <v>0.4</v>
      </c>
    </row>
    <row r="9" spans="1:27" ht="13.8" customHeight="1" x14ac:dyDescent="0.3">
      <c r="A9" s="77" t="s">
        <v>20</v>
      </c>
      <c r="B9" s="18">
        <v>96</v>
      </c>
      <c r="C9" s="6"/>
      <c r="D9" s="6"/>
      <c r="E9" s="44">
        <v>0.17499999999999999</v>
      </c>
      <c r="F9" s="44">
        <v>0.25800000000000001</v>
      </c>
      <c r="G9" s="44">
        <v>0.17899999999999999</v>
      </c>
      <c r="H9" s="44">
        <v>0.26300000000000001</v>
      </c>
      <c r="I9" s="6">
        <v>0.18</v>
      </c>
      <c r="J9" s="6">
        <v>0.26400000000000001</v>
      </c>
      <c r="K9" s="6">
        <v>0.17499999999999999</v>
      </c>
      <c r="L9" s="6">
        <v>0.25900000000000001</v>
      </c>
      <c r="M9" s="6">
        <v>0.28699999999999998</v>
      </c>
      <c r="N9" s="6">
        <v>0.36599999999999999</v>
      </c>
      <c r="O9" s="6">
        <v>0.20699999999999999</v>
      </c>
      <c r="P9" s="6">
        <v>0.30499999999999999</v>
      </c>
      <c r="Q9" s="6">
        <v>0.187</v>
      </c>
      <c r="R9" s="6">
        <v>0.26700000000000002</v>
      </c>
      <c r="S9" s="44">
        <v>0.193</v>
      </c>
      <c r="T9" s="44">
        <v>0.29199999999999998</v>
      </c>
      <c r="U9" s="44">
        <v>0.255</v>
      </c>
      <c r="V9" s="44">
        <v>0.33900000000000002</v>
      </c>
      <c r="W9" s="1"/>
      <c r="X9" s="6">
        <f t="array" ref="X9">SMALL(IF(MOD(COLUMN(C9:U9),2)=1, IF(ISNUMBER(C9:U9), C9:U9)), 1)</f>
        <v>0.17499999999999999</v>
      </c>
      <c r="Y9" s="6">
        <f t="array" ref="Y9">SMALL(IF(MOD(COLUMN(D9:V9),2)=0, IF(ISNUMBER(D9:V9), D9:V9)), 1)</f>
        <v>0.25800000000000001</v>
      </c>
      <c r="Z9" s="6">
        <f t="array" ref="Z9">SMALL(IF(MOD(COLUMN(C9:U9),2)=1, IF(ISNUMBER(C9:U9), C9:U9)), 2)</f>
        <v>0.17499999999999999</v>
      </c>
      <c r="AA9" s="6">
        <f t="array" ref="AA9">SMALL(IF(MOD(COLUMN(D9:V9),2)=0, IF(ISNUMBER(D9:V9), D9:V9)), 2)</f>
        <v>0.25900000000000001</v>
      </c>
    </row>
    <row r="10" spans="1:27" ht="13.8" customHeight="1" x14ac:dyDescent="0.3">
      <c r="A10" s="78"/>
      <c r="B10" s="18">
        <v>192</v>
      </c>
      <c r="C10" s="6"/>
      <c r="D10" s="6"/>
      <c r="E10" s="44">
        <v>0.23699999999999999</v>
      </c>
      <c r="F10" s="44">
        <v>0.29899999999999999</v>
      </c>
      <c r="G10" s="44">
        <v>0.25</v>
      </c>
      <c r="H10" s="44">
        <v>0.309</v>
      </c>
      <c r="I10" s="6">
        <v>0.25</v>
      </c>
      <c r="J10" s="6">
        <v>0.309</v>
      </c>
      <c r="K10" s="6">
        <v>0.24099999999999999</v>
      </c>
      <c r="L10" s="6">
        <v>0.30199999999999999</v>
      </c>
      <c r="M10" s="6">
        <v>0.41399999999999998</v>
      </c>
      <c r="N10" s="6">
        <v>0.49199999999999999</v>
      </c>
      <c r="O10" s="6">
        <v>0.28999999999999998</v>
      </c>
      <c r="P10" s="6">
        <v>0.36399999999999999</v>
      </c>
      <c r="Q10" s="6">
        <v>0.249</v>
      </c>
      <c r="R10" s="6">
        <v>0.309</v>
      </c>
      <c r="S10" s="44">
        <v>0.28399999999999997</v>
      </c>
      <c r="T10" s="44">
        <v>0.36199999999999999</v>
      </c>
      <c r="U10" s="44">
        <v>0.28100000000000003</v>
      </c>
      <c r="V10" s="44">
        <v>0.34</v>
      </c>
      <c r="W10" s="1"/>
      <c r="X10" s="6">
        <f t="array" ref="X10">SMALL(IF(MOD(COLUMN(C10:U10),2)=1, IF(ISNUMBER(C10:U10), C10:U10)), 1)</f>
        <v>0.23699999999999999</v>
      </c>
      <c r="Y10" s="6">
        <f t="array" ref="Y10">SMALL(IF(MOD(COLUMN(D10:V10),2)=0, IF(ISNUMBER(D10:V10), D10:V10)), 1)</f>
        <v>0.29899999999999999</v>
      </c>
      <c r="Z10" s="6">
        <f t="array" ref="Z10">SMALL(IF(MOD(COLUMN(C10:U10),2)=1, IF(ISNUMBER(C10:U10), C10:U10)), 2)</f>
        <v>0.24099999999999999</v>
      </c>
      <c r="AA10" s="6">
        <f t="array" ref="AA10">SMALL(IF(MOD(COLUMN(D10:V10),2)=0, IF(ISNUMBER(D10:V10), D10:V10)), 2)</f>
        <v>0.30199999999999999</v>
      </c>
    </row>
    <row r="11" spans="1:27" ht="13.8" customHeight="1" x14ac:dyDescent="0.3">
      <c r="A11" s="78"/>
      <c r="B11" s="18">
        <v>336</v>
      </c>
      <c r="C11" s="6"/>
      <c r="D11" s="6"/>
      <c r="E11" s="44">
        <v>0.29799999999999999</v>
      </c>
      <c r="F11" s="44">
        <v>0.34</v>
      </c>
      <c r="G11" s="44">
        <v>0.312</v>
      </c>
      <c r="H11" s="44">
        <v>0.34899999999999998</v>
      </c>
      <c r="I11" s="6">
        <v>0.311</v>
      </c>
      <c r="J11" s="6">
        <v>0.34799999999999998</v>
      </c>
      <c r="K11" s="6">
        <v>0.30499999999999999</v>
      </c>
      <c r="L11" s="6">
        <v>0.34300000000000003</v>
      </c>
      <c r="M11" s="6">
        <v>0.59699999999999998</v>
      </c>
      <c r="N11" s="6">
        <v>0.54200000000000004</v>
      </c>
      <c r="O11" s="6">
        <v>0.377</v>
      </c>
      <c r="P11" s="6">
        <v>0.42199999999999999</v>
      </c>
      <c r="Q11" s="6">
        <v>0.32100000000000001</v>
      </c>
      <c r="R11" s="6">
        <v>0.35099999999999998</v>
      </c>
      <c r="S11" s="44">
        <v>0.36899999999999999</v>
      </c>
      <c r="T11" s="44">
        <v>0.42699999999999999</v>
      </c>
      <c r="U11" s="44">
        <v>0.33900000000000002</v>
      </c>
      <c r="V11" s="44">
        <v>0.372</v>
      </c>
      <c r="W11" s="1"/>
      <c r="X11" s="6">
        <f t="array" ref="X11">SMALL(IF(MOD(COLUMN(C11:U11),2)=1, IF(ISNUMBER(C11:U11), C11:U11)), 1)</f>
        <v>0.29799999999999999</v>
      </c>
      <c r="Y11" s="6">
        <f t="array" ref="Y11">SMALL(IF(MOD(COLUMN(D11:V11),2)=0, IF(ISNUMBER(D11:V11), D11:V11)), 1)</f>
        <v>0.34</v>
      </c>
      <c r="Z11" s="6">
        <f t="array" ref="Z11">SMALL(IF(MOD(COLUMN(C11:U11),2)=1, IF(ISNUMBER(C11:U11), C11:U11)), 2)</f>
        <v>0.30499999999999999</v>
      </c>
      <c r="AA11" s="6">
        <f t="array" ref="AA11">SMALL(IF(MOD(COLUMN(D11:V11),2)=0, IF(ISNUMBER(D11:V11), D11:V11)), 2)</f>
        <v>0.34300000000000003</v>
      </c>
    </row>
    <row r="12" spans="1:27" ht="13.8" customHeight="1" x14ac:dyDescent="0.3">
      <c r="A12" s="78"/>
      <c r="B12" s="18">
        <v>720</v>
      </c>
      <c r="C12" s="6"/>
      <c r="D12" s="6"/>
      <c r="E12" s="44">
        <v>0.39100000000000001</v>
      </c>
      <c r="F12" s="44">
        <v>0.39600000000000002</v>
      </c>
      <c r="G12" s="44">
        <v>0.41099999999999998</v>
      </c>
      <c r="H12" s="44">
        <v>0.40600000000000003</v>
      </c>
      <c r="I12" s="6">
        <v>0.41199999999999998</v>
      </c>
      <c r="J12" s="6">
        <v>0.40699999999999997</v>
      </c>
      <c r="K12" s="6">
        <v>0.40200000000000002</v>
      </c>
      <c r="L12" s="6">
        <v>0.4</v>
      </c>
      <c r="M12" s="6">
        <v>1.73</v>
      </c>
      <c r="N12" s="6">
        <v>1.042</v>
      </c>
      <c r="O12" s="6">
        <v>0.55800000000000005</v>
      </c>
      <c r="P12" s="6">
        <v>0.52400000000000002</v>
      </c>
      <c r="Q12" s="6">
        <v>0.40799999999999997</v>
      </c>
      <c r="R12" s="6">
        <v>0.40300000000000002</v>
      </c>
      <c r="S12" s="44">
        <v>0.55400000000000005</v>
      </c>
      <c r="T12" s="44">
        <v>0.52200000000000002</v>
      </c>
      <c r="U12" s="44">
        <v>0.433</v>
      </c>
      <c r="V12" s="44">
        <v>0.432</v>
      </c>
      <c r="W12" s="1"/>
      <c r="X12" s="6">
        <f t="array" ref="X12">SMALL(IF(MOD(COLUMN(C12:U12),2)=1, IF(ISNUMBER(C12:U12), C12:U12)), 1)</f>
        <v>0.39100000000000001</v>
      </c>
      <c r="Y12" s="6">
        <f t="array" ref="Y12">SMALL(IF(MOD(COLUMN(D12:V12),2)=0, IF(ISNUMBER(D12:V12), D12:V12)), 1)</f>
        <v>0.39600000000000002</v>
      </c>
      <c r="Z12" s="6">
        <f t="array" ref="Z12">SMALL(IF(MOD(COLUMN(C12:U12),2)=1, IF(ISNUMBER(C12:U12), C12:U12)), 2)</f>
        <v>0.40200000000000002</v>
      </c>
      <c r="AA12" s="6">
        <f t="array" ref="AA12">SMALL(IF(MOD(COLUMN(D12:V12),2)=0, IF(ISNUMBER(D12:V12), D12:V12)), 2)</f>
        <v>0.4</v>
      </c>
    </row>
    <row r="13" spans="1:27" ht="13.8" customHeight="1" x14ac:dyDescent="0.3">
      <c r="A13" s="79"/>
      <c r="B13" s="18" t="s">
        <v>19</v>
      </c>
      <c r="C13" s="6"/>
      <c r="D13" s="6"/>
      <c r="E13" s="44">
        <v>0.27500000000000002</v>
      </c>
      <c r="F13" s="44">
        <v>0.32300000000000001</v>
      </c>
      <c r="G13" s="44">
        <v>0.28799999999999998</v>
      </c>
      <c r="H13" s="44">
        <v>0.33200000000000002</v>
      </c>
      <c r="I13" s="6">
        <v>0.28799999999999998</v>
      </c>
      <c r="J13" s="6">
        <v>0.33200000000000002</v>
      </c>
      <c r="K13" s="6">
        <v>0.28100000000000003</v>
      </c>
      <c r="L13" s="6">
        <v>0.32600000000000001</v>
      </c>
      <c r="M13" s="6">
        <v>0.75700000000000001</v>
      </c>
      <c r="N13" s="6">
        <v>0.61099999999999999</v>
      </c>
      <c r="O13" s="6">
        <v>0.35799999999999998</v>
      </c>
      <c r="P13" s="6">
        <v>0.40400000000000003</v>
      </c>
      <c r="Q13" s="6">
        <v>0.29099999999999998</v>
      </c>
      <c r="R13" s="6">
        <v>0.33300000000000002</v>
      </c>
      <c r="S13" s="44">
        <v>0.35</v>
      </c>
      <c r="T13" s="44">
        <v>0.40100000000000002</v>
      </c>
      <c r="U13" s="44">
        <v>0.32700000000000001</v>
      </c>
      <c r="V13" s="44">
        <v>0.371</v>
      </c>
      <c r="W13" s="1"/>
      <c r="X13" s="6">
        <f t="array" ref="X13">SMALL(IF(MOD(COLUMN(C13:U13),2)=1, IF(ISNUMBER(C13:U13), C13:U13)), 1)</f>
        <v>0.27500000000000002</v>
      </c>
      <c r="Y13" s="6">
        <f t="array" ref="Y13">SMALL(IF(MOD(COLUMN(D13:V13),2)=0, IF(ISNUMBER(D13:V13), D13:V13)), 1)</f>
        <v>0.32300000000000001</v>
      </c>
      <c r="Z13" s="6">
        <f t="array" ref="Z13">SMALL(IF(MOD(COLUMN(C13:U13),2)=1, IF(ISNUMBER(C13:U13), C13:U13)), 2)</f>
        <v>0.28100000000000003</v>
      </c>
      <c r="AA13" s="6">
        <f t="array" ref="AA13">SMALL(IF(MOD(COLUMN(D13:V13),2)=0, IF(ISNUMBER(D13:V13), D13:V13)), 2)</f>
        <v>0.32600000000000001</v>
      </c>
    </row>
    <row r="14" spans="1:27" ht="13.8" customHeight="1" x14ac:dyDescent="0.3">
      <c r="A14" s="77" t="s">
        <v>21</v>
      </c>
      <c r="B14" s="18">
        <v>96</v>
      </c>
      <c r="C14" s="6"/>
      <c r="D14" s="6"/>
      <c r="E14" s="44">
        <v>0.375</v>
      </c>
      <c r="F14" s="44">
        <v>0.4</v>
      </c>
      <c r="G14" s="44">
        <v>0.38600000000000001</v>
      </c>
      <c r="H14" s="44">
        <v>0.40500000000000003</v>
      </c>
      <c r="I14" s="6">
        <v>0.38600000000000001</v>
      </c>
      <c r="J14" s="6">
        <v>0.40500000000000003</v>
      </c>
      <c r="K14" s="6">
        <v>0.41399999999999998</v>
      </c>
      <c r="L14" s="6">
        <v>0.41899999999999998</v>
      </c>
      <c r="M14" s="6">
        <v>0.42299999999999999</v>
      </c>
      <c r="N14" s="6">
        <v>0.44800000000000001</v>
      </c>
      <c r="O14" s="6">
        <v>0.47899999999999998</v>
      </c>
      <c r="P14" s="6">
        <v>0.46400000000000002</v>
      </c>
      <c r="Q14" s="6">
        <v>0.38400000000000001</v>
      </c>
      <c r="R14" s="6">
        <v>0.40200000000000002</v>
      </c>
      <c r="S14" s="44">
        <v>0.38600000000000001</v>
      </c>
      <c r="T14" s="44">
        <v>0.4</v>
      </c>
      <c r="U14" s="44">
        <v>0.44900000000000001</v>
      </c>
      <c r="V14" s="44">
        <v>0.45900000000000002</v>
      </c>
      <c r="W14" s="1"/>
      <c r="X14" s="6">
        <f t="array" ref="X14">SMALL(IF(MOD(COLUMN(C14:U14),2)=1, IF(ISNUMBER(C14:U14), C14:U14)), 1)</f>
        <v>0.375</v>
      </c>
      <c r="Y14" s="6">
        <f t="array" ref="Y14">SMALL(IF(MOD(COLUMN(D14:V14),2)=0, IF(ISNUMBER(D14:V14), D14:V14)), 1)</f>
        <v>0.4</v>
      </c>
      <c r="Z14" s="6">
        <f t="array" ref="Z14">SMALL(IF(MOD(COLUMN(C14:U14),2)=1, IF(ISNUMBER(C14:U14), C14:U14)), 2)</f>
        <v>0.38400000000000001</v>
      </c>
      <c r="AA14" s="6">
        <f t="array" ref="AA14">SMALL(IF(MOD(COLUMN(D14:V14),2)=0, IF(ISNUMBER(D14:V14), D14:V14)), 2)</f>
        <v>0.4</v>
      </c>
    </row>
    <row r="15" spans="1:27" ht="13.8" customHeight="1" x14ac:dyDescent="0.3">
      <c r="A15" s="78"/>
      <c r="B15" s="18">
        <v>192</v>
      </c>
      <c r="C15" s="6"/>
      <c r="D15" s="6"/>
      <c r="E15" s="44">
        <v>0.42899999999999999</v>
      </c>
      <c r="F15" s="44">
        <v>0.42099999999999999</v>
      </c>
      <c r="G15" s="44">
        <v>0.443</v>
      </c>
      <c r="H15" s="44">
        <v>0.437</v>
      </c>
      <c r="I15" s="6">
        <v>0.441</v>
      </c>
      <c r="J15" s="6">
        <v>0.436</v>
      </c>
      <c r="K15" s="6">
        <v>0.46</v>
      </c>
      <c r="L15" s="6">
        <v>0.44500000000000001</v>
      </c>
      <c r="M15" s="6">
        <v>0.47099999999999997</v>
      </c>
      <c r="N15" s="6">
        <v>0.47399999999999998</v>
      </c>
      <c r="O15" s="6">
        <v>0.52500000000000002</v>
      </c>
      <c r="P15" s="6">
        <v>0.49199999999999999</v>
      </c>
      <c r="Q15" s="6">
        <v>0.436</v>
      </c>
      <c r="R15" s="6">
        <v>0.42899999999999999</v>
      </c>
      <c r="S15" s="44">
        <v>0.437</v>
      </c>
      <c r="T15" s="44">
        <v>0.432</v>
      </c>
      <c r="U15" s="44">
        <v>0.5</v>
      </c>
      <c r="V15" s="44">
        <v>0.48199999999999998</v>
      </c>
      <c r="W15" s="1"/>
      <c r="X15" s="6">
        <f t="array" ref="X15">SMALL(IF(MOD(COLUMN(C15:U15),2)=1, IF(ISNUMBER(C15:U15), C15:U15)), 1)</f>
        <v>0.42899999999999999</v>
      </c>
      <c r="Y15" s="6">
        <f t="array" ref="Y15">SMALL(IF(MOD(COLUMN(D15:V15),2)=0, IF(ISNUMBER(D15:V15), D15:V15)), 1)</f>
        <v>0.42099999999999999</v>
      </c>
      <c r="Z15" s="6">
        <f t="array" ref="Z15">SMALL(IF(MOD(COLUMN(C15:U15),2)=1, IF(ISNUMBER(C15:U15), C15:U15)), 2)</f>
        <v>0.436</v>
      </c>
      <c r="AA15" s="6">
        <f t="array" ref="AA15">SMALL(IF(MOD(COLUMN(D15:V15),2)=0, IF(ISNUMBER(D15:V15), D15:V15)), 2)</f>
        <v>0.42899999999999999</v>
      </c>
    </row>
    <row r="16" spans="1:27" ht="13.8" customHeight="1" x14ac:dyDescent="0.3">
      <c r="A16" s="78"/>
      <c r="B16" s="18">
        <v>336</v>
      </c>
      <c r="C16" s="6"/>
      <c r="D16" s="6"/>
      <c r="E16" s="44">
        <v>0.48399999999999999</v>
      </c>
      <c r="F16" s="44">
        <v>0.45800000000000002</v>
      </c>
      <c r="G16" s="44">
        <v>0.48899999999999999</v>
      </c>
      <c r="H16" s="44">
        <v>0.46800000000000003</v>
      </c>
      <c r="I16" s="6">
        <v>0.48699999999999999</v>
      </c>
      <c r="J16" s="6">
        <v>0.45800000000000002</v>
      </c>
      <c r="K16" s="6">
        <v>0.501</v>
      </c>
      <c r="L16" s="6">
        <v>0.46600000000000003</v>
      </c>
      <c r="M16" s="6">
        <v>0.56999999999999995</v>
      </c>
      <c r="N16" s="6">
        <v>0.54600000000000004</v>
      </c>
      <c r="O16" s="6">
        <v>0.56499999999999995</v>
      </c>
      <c r="P16" s="6">
        <v>0.51500000000000001</v>
      </c>
      <c r="Q16" s="6">
        <v>0.49099999999999999</v>
      </c>
      <c r="R16" s="6">
        <v>0.46899999999999997</v>
      </c>
      <c r="S16" s="44">
        <v>0.48099999999999998</v>
      </c>
      <c r="T16" s="44">
        <v>0.45900000000000002</v>
      </c>
      <c r="U16" s="44">
        <v>0.52100000000000002</v>
      </c>
      <c r="V16" s="44">
        <v>0.496</v>
      </c>
      <c r="W16" s="1"/>
      <c r="X16" s="6">
        <f t="array" ref="X16">SMALL(IF(MOD(COLUMN(C16:U16),2)=1, IF(ISNUMBER(C16:U16), C16:U16)), 1)</f>
        <v>0.48099999999999998</v>
      </c>
      <c r="Y16" s="6">
        <f t="array" ref="Y16">SMALL(IF(MOD(COLUMN(D16:V16),2)=0, IF(ISNUMBER(D16:V16), D16:V16)), 1)</f>
        <v>0.45800000000000002</v>
      </c>
      <c r="Z16" s="6">
        <f t="array" ref="Z16">SMALL(IF(MOD(COLUMN(C16:U16),2)=1, IF(ISNUMBER(C16:U16), C16:U16)), 2)</f>
        <v>0.48399999999999999</v>
      </c>
      <c r="AA16" s="6">
        <f t="array" ref="AA16">SMALL(IF(MOD(COLUMN(D16:V16),2)=0, IF(ISNUMBER(D16:V16), D16:V16)), 2)</f>
        <v>0.45800000000000002</v>
      </c>
    </row>
    <row r="17" spans="1:27" ht="13.8" customHeight="1" x14ac:dyDescent="0.3">
      <c r="A17" s="78"/>
      <c r="B17" s="18">
        <v>720</v>
      </c>
      <c r="C17" s="6"/>
      <c r="D17" s="6"/>
      <c r="E17" s="44">
        <v>0.498</v>
      </c>
      <c r="F17" s="44">
        <v>0.48199999999999998</v>
      </c>
      <c r="G17" s="44">
        <v>0.502</v>
      </c>
      <c r="H17" s="44">
        <v>0.48899999999999999</v>
      </c>
      <c r="I17" s="6">
        <v>0.503</v>
      </c>
      <c r="J17" s="6">
        <v>0.49099999999999999</v>
      </c>
      <c r="K17" s="6">
        <v>0.5</v>
      </c>
      <c r="L17" s="6">
        <v>0.48799999999999999</v>
      </c>
      <c r="M17" s="6">
        <v>0.65300000000000002</v>
      </c>
      <c r="N17" s="6">
        <v>0.621</v>
      </c>
      <c r="O17" s="6">
        <v>0.59399999999999997</v>
      </c>
      <c r="P17" s="6">
        <v>0.55800000000000005</v>
      </c>
      <c r="Q17" s="6">
        <v>0.52100000000000002</v>
      </c>
      <c r="R17" s="6">
        <v>0.5</v>
      </c>
      <c r="S17" s="44">
        <v>0.51900000000000002</v>
      </c>
      <c r="T17" s="44">
        <v>0.51600000000000001</v>
      </c>
      <c r="U17" s="44">
        <v>0.51400000000000001</v>
      </c>
      <c r="V17" s="44">
        <v>0.51200000000000001</v>
      </c>
      <c r="W17" s="1"/>
      <c r="X17" s="6">
        <f t="array" ref="X17">SMALL(IF(MOD(COLUMN(C17:U17),2)=1, IF(ISNUMBER(C17:U17), C17:U17)), 1)</f>
        <v>0.498</v>
      </c>
      <c r="Y17" s="6">
        <f t="array" ref="Y17">SMALL(IF(MOD(COLUMN(D17:V17),2)=0, IF(ISNUMBER(D17:V17), D17:V17)), 1)</f>
        <v>0.48199999999999998</v>
      </c>
      <c r="Z17" s="6">
        <f t="array" ref="Z17">SMALL(IF(MOD(COLUMN(C17:U17),2)=1, IF(ISNUMBER(C17:U17), C17:U17)), 2)</f>
        <v>0.5</v>
      </c>
      <c r="AA17" s="6">
        <f t="array" ref="AA17">SMALL(IF(MOD(COLUMN(D17:V17),2)=0, IF(ISNUMBER(D17:V17), D17:V17)), 2)</f>
        <v>0.48799999999999999</v>
      </c>
    </row>
    <row r="18" spans="1:27" ht="13.8" customHeight="1" x14ac:dyDescent="0.3">
      <c r="A18" s="79"/>
      <c r="B18" s="18" t="s">
        <v>19</v>
      </c>
      <c r="C18" s="6"/>
      <c r="D18" s="6"/>
      <c r="E18" s="44">
        <v>0.44700000000000001</v>
      </c>
      <c r="F18" s="44">
        <v>0.44</v>
      </c>
      <c r="G18" s="44">
        <v>0.45500000000000002</v>
      </c>
      <c r="H18" s="44">
        <v>0.45</v>
      </c>
      <c r="I18" s="6">
        <v>0.45400000000000001</v>
      </c>
      <c r="J18" s="6">
        <v>0.44800000000000001</v>
      </c>
      <c r="K18" s="6">
        <v>0.46899999999999997</v>
      </c>
      <c r="L18" s="6">
        <v>0.45500000000000002</v>
      </c>
      <c r="M18" s="6">
        <v>0.52900000000000003</v>
      </c>
      <c r="N18" s="6">
        <v>0.52200000000000002</v>
      </c>
      <c r="O18" s="6">
        <v>0.54100000000000004</v>
      </c>
      <c r="P18" s="6">
        <v>0.50700000000000001</v>
      </c>
      <c r="Q18" s="6">
        <v>0.45800000000000002</v>
      </c>
      <c r="R18" s="6">
        <v>0.45</v>
      </c>
      <c r="S18" s="44">
        <v>0.45600000000000002</v>
      </c>
      <c r="T18" s="44">
        <v>0.45200000000000001</v>
      </c>
      <c r="U18" s="44">
        <v>0.496</v>
      </c>
      <c r="V18" s="44">
        <v>0.48699999999999999</v>
      </c>
      <c r="W18" s="1"/>
      <c r="X18" s="6">
        <f t="array" ref="X18">SMALL(IF(MOD(COLUMN(C18:U18),2)=1, IF(ISNUMBER(C18:U18), C18:U18)), 1)</f>
        <v>0.44700000000000001</v>
      </c>
      <c r="Y18" s="6">
        <f t="array" ref="Y18">SMALL(IF(MOD(COLUMN(D18:V18),2)=0, IF(ISNUMBER(D18:V18), D18:V18)), 1)</f>
        <v>0.44</v>
      </c>
      <c r="Z18" s="6">
        <f t="array" ref="Z18">SMALL(IF(MOD(COLUMN(C18:U18),2)=1, IF(ISNUMBER(C18:U18), C18:U18)), 2)</f>
        <v>0.45400000000000001</v>
      </c>
      <c r="AA18" s="6">
        <f t="array" ref="AA18">SMALL(IF(MOD(COLUMN(D18:V18),2)=0, IF(ISNUMBER(D18:V18), D18:V18)), 2)</f>
        <v>0.44800000000000001</v>
      </c>
    </row>
    <row r="19" spans="1:27" ht="13.8" customHeight="1" x14ac:dyDescent="0.3">
      <c r="A19" s="77" t="s">
        <v>22</v>
      </c>
      <c r="B19" s="18">
        <v>96</v>
      </c>
      <c r="C19" s="6"/>
      <c r="D19" s="6"/>
      <c r="E19" s="44">
        <v>0.28899999999999998</v>
      </c>
      <c r="F19" s="44">
        <v>0.34100000000000003</v>
      </c>
      <c r="G19" s="44">
        <v>0.29599999999999999</v>
      </c>
      <c r="H19" s="44">
        <v>0.34799999999999998</v>
      </c>
      <c r="I19" s="6">
        <v>0.29699999999999999</v>
      </c>
      <c r="J19" s="6">
        <v>0.34899999999999998</v>
      </c>
      <c r="K19" s="6">
        <v>0.30199999999999999</v>
      </c>
      <c r="L19" s="6">
        <v>0.34799999999999998</v>
      </c>
      <c r="M19" s="6">
        <v>0.745</v>
      </c>
      <c r="N19" s="6">
        <v>0.58399999999999996</v>
      </c>
      <c r="O19" s="6">
        <v>0.4</v>
      </c>
      <c r="P19" s="6">
        <v>0.44</v>
      </c>
      <c r="Q19" s="6">
        <v>0.34</v>
      </c>
      <c r="R19" s="6">
        <v>0.374</v>
      </c>
      <c r="S19" s="44">
        <v>0.33300000000000002</v>
      </c>
      <c r="T19" s="44">
        <v>0.38700000000000001</v>
      </c>
      <c r="U19" s="44">
        <v>0.34599999999999997</v>
      </c>
      <c r="V19" s="44">
        <v>0.38800000000000001</v>
      </c>
      <c r="W19" s="1"/>
      <c r="X19" s="6">
        <f t="array" ref="X19">SMALL(IF(MOD(COLUMN(C19:U19),2)=1, IF(ISNUMBER(C19:U19), C19:U19)), 1)</f>
        <v>0.28899999999999998</v>
      </c>
      <c r="Y19" s="6">
        <f t="array" ref="Y19">SMALL(IF(MOD(COLUMN(D19:V19),2)=0, IF(ISNUMBER(D19:V19), D19:V19)), 1)</f>
        <v>0.34100000000000003</v>
      </c>
      <c r="Z19" s="6">
        <f t="array" ref="Z19">SMALL(IF(MOD(COLUMN(C19:U19),2)=1, IF(ISNUMBER(C19:U19), C19:U19)), 2)</f>
        <v>0.29599999999999999</v>
      </c>
      <c r="AA19" s="6">
        <f t="array" ref="AA19">SMALL(IF(MOD(COLUMN(D19:V19),2)=0, IF(ISNUMBER(D19:V19), D19:V19)), 2)</f>
        <v>0.34799999999999998</v>
      </c>
    </row>
    <row r="20" spans="1:27" ht="13.8" customHeight="1" x14ac:dyDescent="0.3">
      <c r="A20" s="78"/>
      <c r="B20" s="18">
        <v>192</v>
      </c>
      <c r="C20" s="6"/>
      <c r="D20" s="6"/>
      <c r="E20" s="44">
        <v>0.372</v>
      </c>
      <c r="F20" s="44">
        <v>0.39200000000000002</v>
      </c>
      <c r="G20" s="44">
        <v>0.376</v>
      </c>
      <c r="H20" s="44">
        <v>0.39600000000000002</v>
      </c>
      <c r="I20" s="6">
        <v>0.38</v>
      </c>
      <c r="J20" s="6">
        <v>0.4</v>
      </c>
      <c r="K20" s="6">
        <v>0.38800000000000001</v>
      </c>
      <c r="L20" s="6">
        <v>0.4</v>
      </c>
      <c r="M20" s="6">
        <v>0.877</v>
      </c>
      <c r="N20" s="6">
        <v>0.65600000000000003</v>
      </c>
      <c r="O20" s="6">
        <v>0.52800000000000002</v>
      </c>
      <c r="P20" s="6">
        <v>0.50900000000000001</v>
      </c>
      <c r="Q20" s="6">
        <v>0.40200000000000002</v>
      </c>
      <c r="R20" s="6">
        <v>0.41399999999999998</v>
      </c>
      <c r="S20" s="44">
        <v>0.47699999999999998</v>
      </c>
      <c r="T20" s="44">
        <v>0.47599999999999998</v>
      </c>
      <c r="U20" s="44">
        <v>0.45600000000000002</v>
      </c>
      <c r="V20" s="44">
        <v>0.45200000000000001</v>
      </c>
      <c r="W20" s="1"/>
      <c r="X20" s="6">
        <f t="array" ref="X20">SMALL(IF(MOD(COLUMN(C20:U20),2)=1, IF(ISNUMBER(C20:U20), C20:U20)), 1)</f>
        <v>0.372</v>
      </c>
      <c r="Y20" s="6">
        <f t="array" ref="Y20">SMALL(IF(MOD(COLUMN(D20:V20),2)=0, IF(ISNUMBER(D20:V20), D20:V20)), 1)</f>
        <v>0.39200000000000002</v>
      </c>
      <c r="Z20" s="6">
        <f t="array" ref="Z20">SMALL(IF(MOD(COLUMN(C20:U20),2)=1, IF(ISNUMBER(C20:U20), C20:U20)), 2)</f>
        <v>0.376</v>
      </c>
      <c r="AA20" s="6">
        <f t="array" ref="AA20">SMALL(IF(MOD(COLUMN(D20:V20),2)=0, IF(ISNUMBER(D20:V20), D20:V20)), 2)</f>
        <v>0.39600000000000002</v>
      </c>
    </row>
    <row r="21" spans="1:27" ht="13.8" customHeight="1" x14ac:dyDescent="0.3">
      <c r="A21" s="78"/>
      <c r="B21" s="18">
        <v>336</v>
      </c>
      <c r="C21" s="6"/>
      <c r="D21" s="6"/>
      <c r="E21" s="44">
        <v>0.38600000000000001</v>
      </c>
      <c r="F21" s="44">
        <v>0.41399999999999998</v>
      </c>
      <c r="G21" s="44">
        <v>0.42399999999999999</v>
      </c>
      <c r="H21" s="44">
        <v>0.43099999999999999</v>
      </c>
      <c r="I21" s="6">
        <v>0.42799999999999999</v>
      </c>
      <c r="J21" s="6">
        <v>0.432</v>
      </c>
      <c r="K21" s="6">
        <v>0.42599999999999999</v>
      </c>
      <c r="L21" s="6">
        <v>0.433</v>
      </c>
      <c r="M21" s="6">
        <v>1.0429999999999999</v>
      </c>
      <c r="N21" s="6">
        <v>0.73099999999999998</v>
      </c>
      <c r="O21" s="6">
        <v>0.64300000000000002</v>
      </c>
      <c r="P21" s="6">
        <v>0.57099999999999995</v>
      </c>
      <c r="Q21" s="6">
        <v>0.45200000000000001</v>
      </c>
      <c r="R21" s="6">
        <v>0.45200000000000001</v>
      </c>
      <c r="S21" s="44">
        <v>0.59399999999999997</v>
      </c>
      <c r="T21" s="44">
        <v>0.54100000000000004</v>
      </c>
      <c r="U21" s="44">
        <v>0.48199999999999998</v>
      </c>
      <c r="V21" s="44">
        <v>0.48599999999999999</v>
      </c>
      <c r="W21" s="1"/>
      <c r="X21" s="6">
        <f t="array" ref="X21">SMALL(IF(MOD(COLUMN(C21:U21),2)=1, IF(ISNUMBER(C21:U21), C21:U21)), 1)</f>
        <v>0.38600000000000001</v>
      </c>
      <c r="Y21" s="6">
        <f t="array" ref="Y21">SMALL(IF(MOD(COLUMN(D21:V21),2)=0, IF(ISNUMBER(D21:V21), D21:V21)), 1)</f>
        <v>0.41399999999999998</v>
      </c>
      <c r="Z21" s="6">
        <f t="array" ref="Z21">SMALL(IF(MOD(COLUMN(C21:U21),2)=1, IF(ISNUMBER(C21:U21), C21:U21)), 2)</f>
        <v>0.42399999999999999</v>
      </c>
      <c r="AA21" s="6">
        <f t="array" ref="AA21">SMALL(IF(MOD(COLUMN(D21:V21),2)=0, IF(ISNUMBER(D21:V21), D21:V21)), 2)</f>
        <v>0.43099999999999999</v>
      </c>
    </row>
    <row r="22" spans="1:27" ht="13.8" customHeight="1" x14ac:dyDescent="0.3">
      <c r="A22" s="78"/>
      <c r="B22" s="18">
        <v>720</v>
      </c>
      <c r="C22" s="6"/>
      <c r="D22" s="6"/>
      <c r="E22" s="44">
        <v>0.41199999999999998</v>
      </c>
      <c r="F22" s="44">
        <v>0.434</v>
      </c>
      <c r="G22" s="44">
        <v>0.42599999999999999</v>
      </c>
      <c r="H22" s="44">
        <v>0.44400000000000001</v>
      </c>
      <c r="I22" s="6">
        <v>0.42699999999999999</v>
      </c>
      <c r="J22" s="6">
        <v>0.44500000000000001</v>
      </c>
      <c r="K22" s="6">
        <v>0.43099999999999999</v>
      </c>
      <c r="L22" s="6">
        <v>0.44600000000000001</v>
      </c>
      <c r="M22" s="6">
        <v>1.1040000000000001</v>
      </c>
      <c r="N22" s="6">
        <v>0.76300000000000001</v>
      </c>
      <c r="O22" s="6">
        <v>0.874</v>
      </c>
      <c r="P22" s="6">
        <v>0.67900000000000005</v>
      </c>
      <c r="Q22" s="6">
        <v>0.46200000000000002</v>
      </c>
      <c r="R22" s="6">
        <v>0.46800000000000003</v>
      </c>
      <c r="S22" s="44">
        <v>0.83099999999999996</v>
      </c>
      <c r="T22" s="44">
        <v>0.65700000000000003</v>
      </c>
      <c r="U22" s="44">
        <v>0.51500000000000001</v>
      </c>
      <c r="V22" s="44">
        <v>0.51100000000000001</v>
      </c>
      <c r="W22" s="1"/>
      <c r="X22" s="6">
        <f t="array" ref="X22">SMALL(IF(MOD(COLUMN(C22:U22),2)=1, IF(ISNUMBER(C22:U22), C22:U22)), 1)</f>
        <v>0.41199999999999998</v>
      </c>
      <c r="Y22" s="6">
        <f t="array" ref="Y22">SMALL(IF(MOD(COLUMN(D22:V22),2)=0, IF(ISNUMBER(D22:V22), D22:V22)), 1)</f>
        <v>0.434</v>
      </c>
      <c r="Z22" s="6">
        <f t="array" ref="Z22">SMALL(IF(MOD(COLUMN(C22:U22),2)=1, IF(ISNUMBER(C22:U22), C22:U22)), 2)</f>
        <v>0.42599999999999999</v>
      </c>
      <c r="AA22" s="6">
        <f t="array" ref="AA22">SMALL(IF(MOD(COLUMN(D22:V22),2)=0, IF(ISNUMBER(D22:V22), D22:V22)), 2)</f>
        <v>0.44400000000000001</v>
      </c>
    </row>
    <row r="23" spans="1:27" ht="13.8" customHeight="1" x14ac:dyDescent="0.3">
      <c r="A23" s="79"/>
      <c r="B23" s="18" t="s">
        <v>19</v>
      </c>
      <c r="C23" s="6"/>
      <c r="D23" s="6"/>
      <c r="E23" s="44">
        <v>0.36399999999999999</v>
      </c>
      <c r="F23" s="44">
        <v>0.39500000000000002</v>
      </c>
      <c r="G23" s="44">
        <v>0.38100000000000001</v>
      </c>
      <c r="H23" s="44">
        <v>0.40500000000000003</v>
      </c>
      <c r="I23" s="6">
        <v>0.38300000000000001</v>
      </c>
      <c r="J23" s="6">
        <v>0.40600000000000003</v>
      </c>
      <c r="K23" s="6">
        <v>0.38700000000000001</v>
      </c>
      <c r="L23" s="6">
        <v>0.40699999999999997</v>
      </c>
      <c r="M23" s="6">
        <v>0.94199999999999995</v>
      </c>
      <c r="N23" s="6">
        <v>0.68300000000000005</v>
      </c>
      <c r="O23" s="6">
        <v>0.61099999999999999</v>
      </c>
      <c r="P23" s="6">
        <v>0.55000000000000004</v>
      </c>
      <c r="Q23" s="6">
        <v>0.41399999999999998</v>
      </c>
      <c r="R23" s="6">
        <v>0.42699999999999999</v>
      </c>
      <c r="S23" s="44">
        <v>0.55900000000000005</v>
      </c>
      <c r="T23" s="44">
        <v>0.51500000000000001</v>
      </c>
      <c r="U23" s="44">
        <v>0.45</v>
      </c>
      <c r="V23" s="44">
        <v>0.45900000000000002</v>
      </c>
      <c r="W23" s="1"/>
      <c r="X23" s="6">
        <f t="array" ref="X23">SMALL(IF(MOD(COLUMN(C23:U23),2)=1, IF(ISNUMBER(C23:U23), C23:U23)), 1)</f>
        <v>0.36399999999999999</v>
      </c>
      <c r="Y23" s="6">
        <f t="array" ref="Y23">SMALL(IF(MOD(COLUMN(D23:V23),2)=0, IF(ISNUMBER(D23:V23), D23:V23)), 1)</f>
        <v>0.39500000000000002</v>
      </c>
      <c r="Z23" s="6">
        <f t="array" ref="Z23">SMALL(IF(MOD(COLUMN(C23:U23),2)=1, IF(ISNUMBER(C23:U23), C23:U23)), 2)</f>
        <v>0.38100000000000001</v>
      </c>
      <c r="AA23" s="6">
        <f t="array" ref="AA23">SMALL(IF(MOD(COLUMN(D23:V23),2)=0, IF(ISNUMBER(D23:V23), D23:V23)), 2)</f>
        <v>0.40500000000000003</v>
      </c>
    </row>
    <row r="24" spans="1:27" ht="13.8" customHeight="1" x14ac:dyDescent="0.3">
      <c r="A24" s="77" t="s">
        <v>23</v>
      </c>
      <c r="B24" s="18">
        <v>96</v>
      </c>
      <c r="C24" s="6">
        <v>0.14299999999999999</v>
      </c>
      <c r="D24" s="6">
        <v>0.24</v>
      </c>
      <c r="E24" s="44">
        <v>0.153</v>
      </c>
      <c r="F24" s="44">
        <v>0.247</v>
      </c>
      <c r="G24" s="44">
        <v>0.13900000000000001</v>
      </c>
      <c r="H24" s="44">
        <v>0.23499999999999999</v>
      </c>
      <c r="I24" s="6">
        <v>0.14799999999999999</v>
      </c>
      <c r="J24" s="6">
        <v>0.24</v>
      </c>
      <c r="K24" s="6">
        <v>0.18099999999999999</v>
      </c>
      <c r="L24" s="6">
        <v>0.27</v>
      </c>
      <c r="M24" s="6">
        <v>0.219</v>
      </c>
      <c r="N24" s="6">
        <v>0.314</v>
      </c>
      <c r="O24" s="6">
        <v>0.23699999999999999</v>
      </c>
      <c r="P24" s="6">
        <v>0.32900000000000001</v>
      </c>
      <c r="Q24" s="6">
        <v>0.16800000000000001</v>
      </c>
      <c r="R24" s="6">
        <v>0.27200000000000002</v>
      </c>
      <c r="S24" s="44">
        <v>0.19700000000000001</v>
      </c>
      <c r="T24" s="44">
        <v>0.28199999999999997</v>
      </c>
      <c r="U24" s="44">
        <v>0.20100000000000001</v>
      </c>
      <c r="V24" s="44">
        <v>0.317</v>
      </c>
      <c r="W24" s="1"/>
      <c r="X24" s="6">
        <f t="array" ref="X24">SMALL(IF(MOD(COLUMN(C24:U24),2)=1, IF(ISNUMBER(C24:U24), C24:U24)), 1)</f>
        <v>0.13900000000000001</v>
      </c>
      <c r="Y24" s="6">
        <f t="array" ref="Y24">SMALL(IF(MOD(COLUMN(D24:V24),2)=0, IF(ISNUMBER(D24:V24), D24:V24)), 1)</f>
        <v>0.23499999999999999</v>
      </c>
      <c r="Z24" s="6">
        <f t="array" ref="Z24">SMALL(IF(MOD(COLUMN(C24:U24),2)=1, IF(ISNUMBER(C24:U24), C24:U24)), 2)</f>
        <v>0.14299999999999999</v>
      </c>
      <c r="AA24" s="6">
        <f t="array" ref="AA24">SMALL(IF(MOD(COLUMN(D24:V24),2)=0, IF(ISNUMBER(D24:V24), D24:V24)), 2)</f>
        <v>0.24</v>
      </c>
    </row>
    <row r="25" spans="1:27" ht="13.8" customHeight="1" x14ac:dyDescent="0.3">
      <c r="A25" s="78"/>
      <c r="B25" s="18">
        <v>192</v>
      </c>
      <c r="C25" s="6">
        <v>0.159</v>
      </c>
      <c r="D25" s="6">
        <v>0.254</v>
      </c>
      <c r="E25" s="44">
        <v>0.16600000000000001</v>
      </c>
      <c r="F25" s="44">
        <v>0.25600000000000001</v>
      </c>
      <c r="G25" s="44">
        <v>0.159</v>
      </c>
      <c r="H25" s="44">
        <v>0.255</v>
      </c>
      <c r="I25" s="6">
        <v>0.16200000000000001</v>
      </c>
      <c r="J25" s="6">
        <v>0.253</v>
      </c>
      <c r="K25" s="6">
        <v>0.188</v>
      </c>
      <c r="L25" s="6">
        <v>0.27400000000000002</v>
      </c>
      <c r="M25" s="6">
        <v>0.23100000000000001</v>
      </c>
      <c r="N25" s="6">
        <v>0.32200000000000001</v>
      </c>
      <c r="O25" s="6">
        <v>0.23599999999999999</v>
      </c>
      <c r="P25" s="6">
        <v>0.33</v>
      </c>
      <c r="Q25" s="6">
        <v>0.184</v>
      </c>
      <c r="R25" s="6">
        <v>0.28899999999999998</v>
      </c>
      <c r="S25" s="44">
        <v>0.19600000000000001</v>
      </c>
      <c r="T25" s="44">
        <v>0.28499999999999998</v>
      </c>
      <c r="U25" s="44">
        <v>0.222</v>
      </c>
      <c r="V25" s="44">
        <v>0.33400000000000002</v>
      </c>
      <c r="W25" s="1"/>
      <c r="X25" s="6">
        <f t="array" ref="X25">SMALL(IF(MOD(COLUMN(C25:U25),2)=1, IF(ISNUMBER(C25:U25), C25:U25)), 1)</f>
        <v>0.159</v>
      </c>
      <c r="Y25" s="6">
        <f t="array" ref="Y25">SMALL(IF(MOD(COLUMN(D25:V25),2)=0, IF(ISNUMBER(D25:V25), D25:V25)), 1)</f>
        <v>0.253</v>
      </c>
      <c r="Z25" s="6">
        <f t="array" ref="Z25">SMALL(IF(MOD(COLUMN(C25:U25),2)=1, IF(ISNUMBER(C25:U25), C25:U25)), 2)</f>
        <v>0.159</v>
      </c>
      <c r="AA25" s="6">
        <f t="array" ref="AA25">SMALL(IF(MOD(COLUMN(D25:V25),2)=0, IF(ISNUMBER(D25:V25), D25:V25)), 2)</f>
        <v>0.254</v>
      </c>
    </row>
    <row r="26" spans="1:27" ht="13.8" customHeight="1" x14ac:dyDescent="0.3">
      <c r="A26" s="78"/>
      <c r="B26" s="18">
        <v>336</v>
      </c>
      <c r="C26" s="6">
        <v>0.17399999999999999</v>
      </c>
      <c r="D26" s="6">
        <v>0.26900000000000002</v>
      </c>
      <c r="E26" s="44">
        <v>0.185</v>
      </c>
      <c r="F26" s="44">
        <v>0.27700000000000002</v>
      </c>
      <c r="G26" s="44">
        <v>0.17599999999999999</v>
      </c>
      <c r="H26" s="44">
        <v>0.27200000000000002</v>
      </c>
      <c r="I26" s="6">
        <v>0.17799999999999999</v>
      </c>
      <c r="J26" s="6">
        <v>0.26900000000000002</v>
      </c>
      <c r="K26" s="6">
        <v>0.20399999999999999</v>
      </c>
      <c r="L26" s="6">
        <v>0.29299999999999998</v>
      </c>
      <c r="M26" s="6">
        <v>0.246</v>
      </c>
      <c r="N26" s="6">
        <v>0.33700000000000002</v>
      </c>
      <c r="O26" s="6">
        <v>0.249</v>
      </c>
      <c r="P26" s="6">
        <v>0.34399999999999997</v>
      </c>
      <c r="Q26" s="6">
        <v>0.19800000000000001</v>
      </c>
      <c r="R26" s="6">
        <v>0.3</v>
      </c>
      <c r="S26" s="44">
        <v>0.20899999999999999</v>
      </c>
      <c r="T26" s="44">
        <v>0.30099999999999999</v>
      </c>
      <c r="U26" s="44">
        <v>0.23100000000000001</v>
      </c>
      <c r="V26" s="44">
        <v>0.33800000000000002</v>
      </c>
      <c r="W26" s="1"/>
      <c r="X26" s="6">
        <f t="array" ref="X26">SMALL(IF(MOD(COLUMN(C26:U26),2)=1, IF(ISNUMBER(C26:U26), C26:U26)), 1)</f>
        <v>0.17399999999999999</v>
      </c>
      <c r="Y26" s="6">
        <f t="array" ref="Y26">SMALL(IF(MOD(COLUMN(D26:V26),2)=0, IF(ISNUMBER(D26:V26), D26:V26)), 1)</f>
        <v>0.26900000000000002</v>
      </c>
      <c r="Z26" s="6">
        <f t="array" ref="Z26">SMALL(IF(MOD(COLUMN(C26:U26),2)=1, IF(ISNUMBER(C26:U26), C26:U26)), 2)</f>
        <v>0.17599999999999999</v>
      </c>
      <c r="AA26" s="6">
        <f t="array" ref="AA26">SMALL(IF(MOD(COLUMN(D26:V26),2)=0, IF(ISNUMBER(D26:V26), D26:V26)), 2)</f>
        <v>0.26900000000000002</v>
      </c>
    </row>
    <row r="27" spans="1:27" ht="13.8" customHeight="1" x14ac:dyDescent="0.3">
      <c r="A27" s="78"/>
      <c r="B27" s="18">
        <v>720</v>
      </c>
      <c r="C27" s="6">
        <v>0.20200000000000001</v>
      </c>
      <c r="D27" s="6">
        <v>0.29699999999999999</v>
      </c>
      <c r="E27" s="44">
        <v>0.22500000000000001</v>
      </c>
      <c r="F27" s="44">
        <v>0.31</v>
      </c>
      <c r="G27" s="44">
        <v>0.20399999999999999</v>
      </c>
      <c r="H27" s="44">
        <v>0.29799999999999999</v>
      </c>
      <c r="I27" s="6">
        <v>0.22500000000000001</v>
      </c>
      <c r="J27" s="6">
        <v>0.317</v>
      </c>
      <c r="K27" s="6">
        <v>0.246</v>
      </c>
      <c r="L27" s="6">
        <v>0.32400000000000001</v>
      </c>
      <c r="M27" s="6">
        <v>0.28000000000000003</v>
      </c>
      <c r="N27" s="6">
        <v>0.36299999999999999</v>
      </c>
      <c r="O27" s="6">
        <v>0.28399999999999997</v>
      </c>
      <c r="P27" s="6">
        <v>0.373</v>
      </c>
      <c r="Q27" s="6">
        <v>0.22</v>
      </c>
      <c r="R27" s="6">
        <v>0.32</v>
      </c>
      <c r="S27" s="44">
        <v>0.245</v>
      </c>
      <c r="T27" s="44">
        <v>0.33300000000000002</v>
      </c>
      <c r="U27" s="44">
        <v>0.254</v>
      </c>
      <c r="V27" s="44">
        <v>0.36099999999999999</v>
      </c>
      <c r="W27" s="1"/>
      <c r="X27" s="6">
        <f t="array" ref="X27">SMALL(IF(MOD(COLUMN(C27:U27),2)=1, IF(ISNUMBER(C27:U27), C27:U27)), 1)</f>
        <v>0.20200000000000001</v>
      </c>
      <c r="Y27" s="6">
        <f t="array" ref="Y27">SMALL(IF(MOD(COLUMN(D27:V27),2)=0, IF(ISNUMBER(D27:V27), D27:V27)), 1)</f>
        <v>0.29699999999999999</v>
      </c>
      <c r="Z27" s="6">
        <f t="array" ref="Z27">SMALL(IF(MOD(COLUMN(C27:U27),2)=1, IF(ISNUMBER(C27:U27), C27:U27)), 2)</f>
        <v>0.20399999999999999</v>
      </c>
      <c r="AA27" s="6">
        <f t="array" ref="AA27">SMALL(IF(MOD(COLUMN(D27:V27),2)=0, IF(ISNUMBER(D27:V27), D27:V27)), 2)</f>
        <v>0.29799999999999999</v>
      </c>
    </row>
    <row r="28" spans="1:27" ht="13.8" customHeight="1" x14ac:dyDescent="0.3">
      <c r="A28" s="79"/>
      <c r="B28" s="18" t="s">
        <v>19</v>
      </c>
      <c r="C28" s="6">
        <v>0.16900000000000001</v>
      </c>
      <c r="D28" s="6">
        <v>0.26500000000000001</v>
      </c>
      <c r="E28" s="44">
        <v>0.182</v>
      </c>
      <c r="F28" s="44">
        <v>0.27200000000000002</v>
      </c>
      <c r="G28" s="44">
        <v>0.16900000000000001</v>
      </c>
      <c r="H28" s="44">
        <v>0.26500000000000001</v>
      </c>
      <c r="I28" s="6">
        <v>0.17799999999999999</v>
      </c>
      <c r="J28" s="6">
        <v>0.27</v>
      </c>
      <c r="K28" s="6">
        <v>0.20499999999999999</v>
      </c>
      <c r="L28" s="6">
        <v>0.28999999999999998</v>
      </c>
      <c r="M28" s="6">
        <v>0.24399999999999999</v>
      </c>
      <c r="N28" s="6">
        <v>0.33400000000000002</v>
      </c>
      <c r="O28" s="6">
        <v>0.252</v>
      </c>
      <c r="P28" s="6">
        <v>0.34399999999999997</v>
      </c>
      <c r="Q28" s="6">
        <v>0.193</v>
      </c>
      <c r="R28" s="6">
        <v>0.29499999999999998</v>
      </c>
      <c r="S28" s="44">
        <v>0.21199999999999999</v>
      </c>
      <c r="T28" s="44">
        <v>0.3</v>
      </c>
      <c r="U28" s="44">
        <v>0.22700000000000001</v>
      </c>
      <c r="V28" s="44">
        <v>0.33800000000000002</v>
      </c>
      <c r="W28" s="1"/>
      <c r="X28" s="6">
        <f t="array" ref="X28">SMALL(IF(MOD(COLUMN(C28:U28),2)=1, IF(ISNUMBER(C28:U28), C28:U28)), 1)</f>
        <v>0.16900000000000001</v>
      </c>
      <c r="Y28" s="6">
        <f t="array" ref="Y28">SMALL(IF(MOD(COLUMN(D28:V28),2)=0, IF(ISNUMBER(D28:V28), D28:V28)), 1)</f>
        <v>0.26500000000000001</v>
      </c>
      <c r="Z28" s="6">
        <f t="array" ref="Z28">SMALL(IF(MOD(COLUMN(C28:U28),2)=1, IF(ISNUMBER(C28:U28), C28:U28)), 2)</f>
        <v>0.16900000000000001</v>
      </c>
      <c r="AA28" s="6">
        <f t="array" ref="AA28">SMALL(IF(MOD(COLUMN(D28:V28),2)=0, IF(ISNUMBER(D28:V28), D28:V28)), 2)</f>
        <v>0.26500000000000001</v>
      </c>
    </row>
    <row r="29" spans="1:27" ht="13.8" customHeight="1" x14ac:dyDescent="0.3">
      <c r="A29" s="77" t="s">
        <v>24</v>
      </c>
      <c r="B29" s="18">
        <v>96</v>
      </c>
      <c r="C29" s="6">
        <v>8.2000000000000003E-2</v>
      </c>
      <c r="D29" s="6">
        <v>0.2</v>
      </c>
      <c r="E29" s="44">
        <v>8.5000000000000006E-2</v>
      </c>
      <c r="F29" s="44">
        <v>0.20300000000000001</v>
      </c>
      <c r="G29" s="44">
        <v>8.5999999999999993E-2</v>
      </c>
      <c r="H29" s="44">
        <v>0.20699999999999999</v>
      </c>
      <c r="I29" s="6">
        <v>8.5999999999999993E-2</v>
      </c>
      <c r="J29" s="6">
        <v>0.20599999999999999</v>
      </c>
      <c r="K29" s="6">
        <v>8.7999999999999995E-2</v>
      </c>
      <c r="L29" s="6">
        <v>0.20499999999999999</v>
      </c>
      <c r="M29" s="6">
        <v>0.25600000000000001</v>
      </c>
      <c r="N29" s="6">
        <v>0.36699999999999999</v>
      </c>
      <c r="O29" s="6">
        <v>9.4E-2</v>
      </c>
      <c r="P29" s="6">
        <v>0.218</v>
      </c>
      <c r="Q29" s="6">
        <v>0.107</v>
      </c>
      <c r="R29" s="6">
        <v>0.23400000000000001</v>
      </c>
      <c r="S29" s="44">
        <v>8.7999999999999995E-2</v>
      </c>
      <c r="T29" s="44">
        <v>0.218</v>
      </c>
      <c r="U29" s="44">
        <v>0.19700000000000001</v>
      </c>
      <c r="V29" s="44">
        <v>0.32300000000000001</v>
      </c>
      <c r="W29" s="1"/>
      <c r="X29" s="6">
        <f t="array" ref="X29">SMALL(IF(MOD(COLUMN(C29:U29),2)=1, IF(ISNUMBER(C29:U29), C29:U29)), 1)</f>
        <v>8.2000000000000003E-2</v>
      </c>
      <c r="Y29" s="6">
        <f t="array" ref="Y29">SMALL(IF(MOD(COLUMN(D29:V29),2)=0, IF(ISNUMBER(D29:V29), D29:V29)), 1)</f>
        <v>0.2</v>
      </c>
      <c r="Z29" s="6">
        <f t="array" ref="Z29">SMALL(IF(MOD(COLUMN(C29:U29),2)=1, IF(ISNUMBER(C29:U29), C29:U29)), 2)</f>
        <v>8.5000000000000006E-2</v>
      </c>
      <c r="AA29" s="6">
        <f t="array" ref="AA29">SMALL(IF(MOD(COLUMN(D29:V29),2)=0, IF(ISNUMBER(D29:V29), D29:V29)), 2)</f>
        <v>0.20300000000000001</v>
      </c>
    </row>
    <row r="30" spans="1:27" ht="13.8" customHeight="1" x14ac:dyDescent="0.3">
      <c r="A30" s="78"/>
      <c r="B30" s="18">
        <v>192</v>
      </c>
      <c r="C30" s="6">
        <v>0.17199999999999999</v>
      </c>
      <c r="D30" s="6">
        <v>0.29499999999999998</v>
      </c>
      <c r="E30" s="44">
        <v>0.18099999999999999</v>
      </c>
      <c r="F30" s="44">
        <v>0.30099999999999999</v>
      </c>
      <c r="G30" s="44">
        <v>0.182</v>
      </c>
      <c r="H30" s="44">
        <v>0.30399999999999999</v>
      </c>
      <c r="I30" s="6">
        <v>0.17699999999999999</v>
      </c>
      <c r="J30" s="6">
        <v>0.29899999999999999</v>
      </c>
      <c r="K30" s="6">
        <v>0.17599999999999999</v>
      </c>
      <c r="L30" s="6">
        <v>0.29899999999999999</v>
      </c>
      <c r="M30" s="6">
        <v>0.47</v>
      </c>
      <c r="N30" s="6">
        <v>0.50900000000000001</v>
      </c>
      <c r="O30" s="6">
        <v>0.184</v>
      </c>
      <c r="P30" s="6">
        <v>0.307</v>
      </c>
      <c r="Q30" s="6">
        <v>0.22600000000000001</v>
      </c>
      <c r="R30" s="6">
        <v>0.34399999999999997</v>
      </c>
      <c r="S30" s="44">
        <v>0.17599999999999999</v>
      </c>
      <c r="T30" s="44">
        <v>0.315</v>
      </c>
      <c r="U30" s="44">
        <v>0.3</v>
      </c>
      <c r="V30" s="44">
        <v>0.36899999999999999</v>
      </c>
      <c r="W30" s="1"/>
      <c r="X30" s="6">
        <f t="array" ref="X30">SMALL(IF(MOD(COLUMN(C30:U30),2)=1, IF(ISNUMBER(C30:U30), C30:U30)), 1)</f>
        <v>0.17199999999999999</v>
      </c>
      <c r="Y30" s="6">
        <f t="array" ref="Y30">SMALL(IF(MOD(COLUMN(D30:V30),2)=0, IF(ISNUMBER(D30:V30), D30:V30)), 1)</f>
        <v>0.29499999999999998</v>
      </c>
      <c r="Z30" s="6">
        <f t="array" ref="Z30">SMALL(IF(MOD(COLUMN(C30:U30),2)=1, IF(ISNUMBER(C30:U30), C30:U30)), 2)</f>
        <v>0.17599999999999999</v>
      </c>
      <c r="AA30" s="6">
        <f t="array" ref="AA30">SMALL(IF(MOD(COLUMN(D30:V30),2)=0, IF(ISNUMBER(D30:V30), D30:V30)), 2)</f>
        <v>0.29899999999999999</v>
      </c>
    </row>
    <row r="31" spans="1:27" ht="13.8" customHeight="1" x14ac:dyDescent="0.3">
      <c r="A31" s="78"/>
      <c r="B31" s="18">
        <v>336</v>
      </c>
      <c r="C31" s="6">
        <v>0.312</v>
      </c>
      <c r="D31" s="6">
        <v>0.40300000000000002</v>
      </c>
      <c r="E31" s="44">
        <v>0.34699999999999998</v>
      </c>
      <c r="F31" s="44">
        <v>0.42499999999999999</v>
      </c>
      <c r="G31" s="44">
        <v>0.33200000000000002</v>
      </c>
      <c r="H31" s="44">
        <v>0.41799999999999998</v>
      </c>
      <c r="I31" s="6">
        <v>0.33100000000000002</v>
      </c>
      <c r="J31" s="6">
        <v>0.41699999999999998</v>
      </c>
      <c r="K31" s="6">
        <v>0.30099999999999999</v>
      </c>
      <c r="L31" s="6">
        <v>0.39700000000000002</v>
      </c>
      <c r="M31" s="6">
        <v>1.268</v>
      </c>
      <c r="N31" s="6">
        <v>0.88300000000000001</v>
      </c>
      <c r="O31" s="6">
        <v>0.34899999999999998</v>
      </c>
      <c r="P31" s="6">
        <v>0.43099999999999999</v>
      </c>
      <c r="Q31" s="6">
        <v>0.36699999999999999</v>
      </c>
      <c r="R31" s="6">
        <v>0.44800000000000001</v>
      </c>
      <c r="S31" s="44">
        <v>0.313</v>
      </c>
      <c r="T31" s="44">
        <v>0.42699999999999999</v>
      </c>
      <c r="U31" s="44">
        <v>0.50900000000000001</v>
      </c>
      <c r="V31" s="44">
        <v>0.52400000000000002</v>
      </c>
      <c r="W31" s="1"/>
      <c r="X31" s="6">
        <f t="array" ref="X31">SMALL(IF(MOD(COLUMN(C31:U31),2)=1, IF(ISNUMBER(C31:U31), C31:U31)), 1)</f>
        <v>0.30099999999999999</v>
      </c>
      <c r="Y31" s="6">
        <f t="array" ref="Y31">SMALL(IF(MOD(COLUMN(D31:V31),2)=0, IF(ISNUMBER(D31:V31), D31:V31)), 1)</f>
        <v>0.39700000000000002</v>
      </c>
      <c r="Z31" s="6">
        <f t="array" ref="Z31">SMALL(IF(MOD(COLUMN(C31:U31),2)=1, IF(ISNUMBER(C31:U31), C31:U31)), 2)</f>
        <v>0.312</v>
      </c>
      <c r="AA31" s="6">
        <f t="array" ref="AA31">SMALL(IF(MOD(COLUMN(D31:V31),2)=0, IF(ISNUMBER(D31:V31), D31:V31)), 2)</f>
        <v>0.40300000000000002</v>
      </c>
    </row>
    <row r="32" spans="1:27" ht="13.8" customHeight="1" x14ac:dyDescent="0.3">
      <c r="A32" s="78"/>
      <c r="B32" s="18">
        <v>720</v>
      </c>
      <c r="C32" s="6">
        <v>0.76200000000000001</v>
      </c>
      <c r="D32" s="6">
        <v>0.65400000000000003</v>
      </c>
      <c r="E32" s="44">
        <v>0.871</v>
      </c>
      <c r="F32" s="44">
        <v>0.70099999999999996</v>
      </c>
      <c r="G32" s="44">
        <v>0.86699999999999999</v>
      </c>
      <c r="H32" s="44">
        <v>0.70299999999999996</v>
      </c>
      <c r="I32" s="6">
        <v>0.84699999999999998</v>
      </c>
      <c r="J32" s="6">
        <v>0.69099999999999995</v>
      </c>
      <c r="K32" s="6">
        <v>0.90100000000000002</v>
      </c>
      <c r="L32" s="6">
        <v>0.71399999999999997</v>
      </c>
      <c r="M32" s="6">
        <v>1.7669999999999999</v>
      </c>
      <c r="N32" s="6">
        <v>1.0680000000000001</v>
      </c>
      <c r="O32" s="6">
        <v>0.85199999999999998</v>
      </c>
      <c r="P32" s="6">
        <v>0.69799999999999995</v>
      </c>
      <c r="Q32" s="6">
        <v>0.96399999999999997</v>
      </c>
      <c r="R32" s="6">
        <v>0.746</v>
      </c>
      <c r="S32" s="44">
        <v>0.83899999999999997</v>
      </c>
      <c r="T32" s="44">
        <v>0.69499999999999995</v>
      </c>
      <c r="U32" s="44">
        <v>1.4470000000000001</v>
      </c>
      <c r="V32" s="44">
        <v>0.94099999999999995</v>
      </c>
      <c r="W32" s="1"/>
      <c r="X32" s="6">
        <f t="array" ref="X32">SMALL(IF(MOD(COLUMN(C32:U32),2)=1, IF(ISNUMBER(C32:U32), C32:U32)), 1)</f>
        <v>0.76200000000000001</v>
      </c>
      <c r="Y32" s="6">
        <f t="array" ref="Y32">SMALL(IF(MOD(COLUMN(D32:V32),2)=0, IF(ISNUMBER(D32:V32), D32:V32)), 1)</f>
        <v>0.65400000000000003</v>
      </c>
      <c r="Z32" s="6">
        <f t="array" ref="Z32">SMALL(IF(MOD(COLUMN(C32:U32),2)=1, IF(ISNUMBER(C32:U32), C32:U32)), 2)</f>
        <v>0.83899999999999997</v>
      </c>
      <c r="AA32" s="6">
        <f t="array" ref="AA32">SMALL(IF(MOD(COLUMN(D32:V32),2)=0, IF(ISNUMBER(D32:V32), D32:V32)), 2)</f>
        <v>0.69099999999999995</v>
      </c>
    </row>
    <row r="33" spans="1:27" ht="13.8" customHeight="1" x14ac:dyDescent="0.3">
      <c r="A33" s="79"/>
      <c r="B33" s="18" t="s">
        <v>19</v>
      </c>
      <c r="C33" s="6">
        <v>0.33200000000000002</v>
      </c>
      <c r="D33" s="6">
        <v>0.38800000000000001</v>
      </c>
      <c r="E33" s="44">
        <v>0.371</v>
      </c>
      <c r="F33" s="44">
        <v>0.40699999999999997</v>
      </c>
      <c r="G33" s="44">
        <v>0.36699999999999999</v>
      </c>
      <c r="H33" s="44">
        <v>0.40799999999999997</v>
      </c>
      <c r="I33" s="6">
        <v>0.36</v>
      </c>
      <c r="J33" s="6">
        <v>0.40300000000000002</v>
      </c>
      <c r="K33" s="6">
        <v>0.36599999999999999</v>
      </c>
      <c r="L33" s="6">
        <v>0.40400000000000003</v>
      </c>
      <c r="M33" s="6">
        <v>0.94</v>
      </c>
      <c r="N33" s="6">
        <v>0.70699999999999996</v>
      </c>
      <c r="O33" s="6">
        <v>0.37</v>
      </c>
      <c r="P33" s="6">
        <v>0.41299999999999998</v>
      </c>
      <c r="Q33" s="6">
        <v>0.41599999999999998</v>
      </c>
      <c r="R33" s="6">
        <v>0.443</v>
      </c>
      <c r="S33" s="44">
        <v>0.35399999999999998</v>
      </c>
      <c r="T33" s="44">
        <v>0.41399999999999998</v>
      </c>
      <c r="U33" s="44">
        <v>0.61299999999999999</v>
      </c>
      <c r="V33" s="44">
        <v>0.53900000000000003</v>
      </c>
      <c r="W33" s="1"/>
      <c r="X33" s="6">
        <f t="array" ref="X33">SMALL(IF(MOD(COLUMN(C33:U33),2)=1, IF(ISNUMBER(C33:U33), C33:U33)), 1)</f>
        <v>0.33200000000000002</v>
      </c>
      <c r="Y33" s="6">
        <f t="array" ref="Y33">SMALL(IF(MOD(COLUMN(D33:V33),2)=0, IF(ISNUMBER(D33:V33), D33:V33)), 1)</f>
        <v>0.38800000000000001</v>
      </c>
      <c r="Z33" s="6">
        <f t="array" ref="Z33">SMALL(IF(MOD(COLUMN(C33:U33),2)=1, IF(ISNUMBER(C33:U33), C33:U33)), 2)</f>
        <v>0.35399999999999998</v>
      </c>
      <c r="AA33" s="6">
        <f t="array" ref="AA33">SMALL(IF(MOD(COLUMN(D33:V33),2)=0, IF(ISNUMBER(D33:V33), D33:V33)), 2)</f>
        <v>0.40300000000000002</v>
      </c>
    </row>
    <row r="34" spans="1:27" ht="13.8" customHeight="1" x14ac:dyDescent="0.3">
      <c r="A34" s="77" t="s">
        <v>25</v>
      </c>
      <c r="B34" s="18">
        <v>96</v>
      </c>
      <c r="C34" s="6"/>
      <c r="D34" s="6"/>
      <c r="E34" s="44">
        <v>0.16300000000000001</v>
      </c>
      <c r="F34" s="44">
        <v>0.20899999999999999</v>
      </c>
      <c r="G34" s="44">
        <v>0.16900000000000001</v>
      </c>
      <c r="H34" s="44">
        <v>0.21</v>
      </c>
      <c r="I34" s="6">
        <v>0.17399999999999999</v>
      </c>
      <c r="J34" s="6">
        <v>0.214</v>
      </c>
      <c r="K34" s="6">
        <v>0.17699999999999999</v>
      </c>
      <c r="L34" s="6">
        <v>0.218</v>
      </c>
      <c r="M34" s="6">
        <v>0.158</v>
      </c>
      <c r="N34" s="6">
        <v>0.23</v>
      </c>
      <c r="O34" s="6">
        <v>0.20200000000000001</v>
      </c>
      <c r="P34" s="6">
        <v>0.26100000000000001</v>
      </c>
      <c r="Q34" s="6">
        <v>0.17199999999999999</v>
      </c>
      <c r="R34" s="6">
        <v>0.22</v>
      </c>
      <c r="S34" s="44">
        <v>0.19600000000000001</v>
      </c>
      <c r="T34" s="44">
        <v>0.255</v>
      </c>
      <c r="U34" s="44">
        <v>0.26600000000000001</v>
      </c>
      <c r="V34" s="44">
        <v>0.33600000000000002</v>
      </c>
      <c r="W34" s="1"/>
      <c r="X34" s="6">
        <f t="array" ref="X34">SMALL(IF(MOD(COLUMN(C34:U34),2)=1, IF(ISNUMBER(C34:U34), C34:U34)), 1)</f>
        <v>0.158</v>
      </c>
      <c r="Y34" s="6">
        <f t="array" ref="Y34">SMALL(IF(MOD(COLUMN(D34:V34),2)=0, IF(ISNUMBER(D34:V34), D34:V34)), 1)</f>
        <v>0.20899999999999999</v>
      </c>
      <c r="Z34" s="6">
        <f t="array" ref="Z34">SMALL(IF(MOD(COLUMN(C34:U34),2)=1, IF(ISNUMBER(C34:U34), C34:U34)), 2)</f>
        <v>0.16300000000000001</v>
      </c>
      <c r="AA34" s="6">
        <f t="array" ref="AA34">SMALL(IF(MOD(COLUMN(D34:V34),2)=0, IF(ISNUMBER(D34:V34), D34:V34)), 2)</f>
        <v>0.21</v>
      </c>
    </row>
    <row r="35" spans="1:27" ht="13.8" customHeight="1" x14ac:dyDescent="0.3">
      <c r="A35" s="78"/>
      <c r="B35" s="18">
        <v>192</v>
      </c>
      <c r="C35" s="6"/>
      <c r="D35" s="6"/>
      <c r="E35" s="44">
        <v>0.20799999999999999</v>
      </c>
      <c r="F35" s="44">
        <v>0.25</v>
      </c>
      <c r="G35" s="44">
        <v>0.214</v>
      </c>
      <c r="H35" s="44">
        <v>0.253</v>
      </c>
      <c r="I35" s="6">
        <v>0.221</v>
      </c>
      <c r="J35" s="6">
        <v>0.254</v>
      </c>
      <c r="K35" s="6">
        <v>0.22500000000000001</v>
      </c>
      <c r="L35" s="6">
        <v>0.25900000000000001</v>
      </c>
      <c r="M35" s="6">
        <v>0.20599999999999999</v>
      </c>
      <c r="N35" s="6">
        <v>0.27700000000000002</v>
      </c>
      <c r="O35" s="6">
        <v>0.24199999999999999</v>
      </c>
      <c r="P35" s="6">
        <v>0.29799999999999999</v>
      </c>
      <c r="Q35" s="6">
        <v>0.219</v>
      </c>
      <c r="R35" s="6">
        <v>0.26100000000000001</v>
      </c>
      <c r="S35" s="44">
        <v>0.23699999999999999</v>
      </c>
      <c r="T35" s="44">
        <v>0.29599999999999999</v>
      </c>
      <c r="U35" s="44">
        <v>0.307</v>
      </c>
      <c r="V35" s="44">
        <v>0.36699999999999999</v>
      </c>
      <c r="W35" s="1"/>
      <c r="X35" s="6">
        <f t="array" ref="X35">SMALL(IF(MOD(COLUMN(C35:U35),2)=1, IF(ISNUMBER(C35:U35), C35:U35)), 1)</f>
        <v>0.20599999999999999</v>
      </c>
      <c r="Y35" s="6">
        <f t="array" ref="Y35">SMALL(IF(MOD(COLUMN(D35:V35),2)=0, IF(ISNUMBER(D35:V35), D35:V35)), 1)</f>
        <v>0.25</v>
      </c>
      <c r="Z35" s="6">
        <f t="array" ref="Z35">SMALL(IF(MOD(COLUMN(C35:U35),2)=1, IF(ISNUMBER(C35:U35), C35:U35)), 2)</f>
        <v>0.20799999999999999</v>
      </c>
      <c r="AA35" s="6">
        <f t="array" ref="AA35">SMALL(IF(MOD(COLUMN(D35:V35),2)=0, IF(ISNUMBER(D35:V35), D35:V35)), 2)</f>
        <v>0.253</v>
      </c>
    </row>
    <row r="36" spans="1:27" ht="13.8" customHeight="1" x14ac:dyDescent="0.3">
      <c r="A36" s="78"/>
      <c r="B36" s="18">
        <v>336</v>
      </c>
      <c r="C36" s="6"/>
      <c r="D36" s="6"/>
      <c r="E36" s="44">
        <v>0.251</v>
      </c>
      <c r="F36" s="44">
        <v>0.28699999999999998</v>
      </c>
      <c r="G36" s="44">
        <v>0.27400000000000002</v>
      </c>
      <c r="H36" s="44">
        <v>0.29599999999999999</v>
      </c>
      <c r="I36" s="6">
        <v>0.27800000000000002</v>
      </c>
      <c r="J36" s="6">
        <v>0.29599999999999999</v>
      </c>
      <c r="K36" s="6">
        <v>0.27800000000000002</v>
      </c>
      <c r="L36" s="6">
        <v>0.29699999999999999</v>
      </c>
      <c r="M36" s="6">
        <v>0.27200000000000002</v>
      </c>
      <c r="N36" s="6">
        <v>0.33500000000000002</v>
      </c>
      <c r="O36" s="6">
        <v>0.28699999999999998</v>
      </c>
      <c r="P36" s="6">
        <v>0.33500000000000002</v>
      </c>
      <c r="Q36" s="6">
        <v>0.28000000000000003</v>
      </c>
      <c r="R36" s="6">
        <v>0.30599999999999999</v>
      </c>
      <c r="S36" s="44">
        <v>0.28299999999999997</v>
      </c>
      <c r="T36" s="44">
        <v>0.33500000000000002</v>
      </c>
      <c r="U36" s="44">
        <v>0.35899999999999999</v>
      </c>
      <c r="V36" s="44">
        <v>0.39500000000000002</v>
      </c>
      <c r="W36" s="1"/>
      <c r="X36" s="6">
        <f t="array" ref="X36">SMALL(IF(MOD(COLUMN(C36:U36),2)=1, IF(ISNUMBER(C36:U36), C36:U36)), 1)</f>
        <v>0.251</v>
      </c>
      <c r="Y36" s="6">
        <f t="array" ref="Y36">SMALL(IF(MOD(COLUMN(D36:V36),2)=0, IF(ISNUMBER(D36:V36), D36:V36)), 1)</f>
        <v>0.28699999999999998</v>
      </c>
      <c r="Z36" s="6">
        <f t="array" ref="Z36">SMALL(IF(MOD(COLUMN(C36:U36),2)=1, IF(ISNUMBER(C36:U36), C36:U36)), 2)</f>
        <v>0.27200000000000002</v>
      </c>
      <c r="AA36" s="6">
        <f t="array" ref="AA36">SMALL(IF(MOD(COLUMN(D36:V36),2)=0, IF(ISNUMBER(D36:V36), D36:V36)), 2)</f>
        <v>0.29599999999999999</v>
      </c>
    </row>
    <row r="37" spans="1:27" ht="13.8" customHeight="1" x14ac:dyDescent="0.3">
      <c r="A37" s="78"/>
      <c r="B37" s="18">
        <v>720</v>
      </c>
      <c r="C37" s="6"/>
      <c r="D37" s="6"/>
      <c r="E37" s="44">
        <v>0.33900000000000002</v>
      </c>
      <c r="F37" s="44">
        <v>0.34100000000000003</v>
      </c>
      <c r="G37" s="44">
        <v>0.35299999999999998</v>
      </c>
      <c r="H37" s="44">
        <v>0.34799999999999998</v>
      </c>
      <c r="I37" s="6">
        <v>0.35799999999999998</v>
      </c>
      <c r="J37" s="6">
        <v>0.34699999999999998</v>
      </c>
      <c r="K37" s="6">
        <v>0.35399999999999998</v>
      </c>
      <c r="L37" s="6">
        <v>0.34799999999999998</v>
      </c>
      <c r="M37" s="6">
        <v>0.39800000000000002</v>
      </c>
      <c r="N37" s="6">
        <v>0.41799999999999998</v>
      </c>
      <c r="O37" s="6">
        <v>0.35099999999999998</v>
      </c>
      <c r="P37" s="6">
        <v>0.38600000000000001</v>
      </c>
      <c r="Q37" s="6">
        <v>0.36499999999999999</v>
      </c>
      <c r="R37" s="6">
        <v>0.35899999999999999</v>
      </c>
      <c r="S37" s="44">
        <v>0.34499999999999997</v>
      </c>
      <c r="T37" s="44">
        <v>0.38100000000000001</v>
      </c>
      <c r="U37" s="44">
        <v>0.41899999999999998</v>
      </c>
      <c r="V37" s="44">
        <v>0.42799999999999999</v>
      </c>
      <c r="W37" s="1"/>
      <c r="X37" s="6">
        <f t="array" ref="X37">SMALL(IF(MOD(COLUMN(C37:U37),2)=1, IF(ISNUMBER(C37:U37), C37:U37)), 1)</f>
        <v>0.33900000000000002</v>
      </c>
      <c r="Y37" s="6">
        <f t="array" ref="Y37">SMALL(IF(MOD(COLUMN(D37:V37),2)=0, IF(ISNUMBER(D37:V37), D37:V37)), 1)</f>
        <v>0.34100000000000003</v>
      </c>
      <c r="Z37" s="6">
        <f t="array" ref="Z37">SMALL(IF(MOD(COLUMN(C37:U37),2)=1, IF(ISNUMBER(C37:U37), C37:U37)), 2)</f>
        <v>0.34499999999999997</v>
      </c>
      <c r="AA37" s="6">
        <f t="array" ref="AA37">SMALL(IF(MOD(COLUMN(D37:V37),2)=0, IF(ISNUMBER(D37:V37), D37:V37)), 2)</f>
        <v>0.34699999999999998</v>
      </c>
    </row>
    <row r="38" spans="1:27" ht="13.8" customHeight="1" x14ac:dyDescent="0.3">
      <c r="A38" s="79"/>
      <c r="B38" s="18" t="s">
        <v>19</v>
      </c>
      <c r="C38" s="6"/>
      <c r="D38" s="6"/>
      <c r="E38" s="44">
        <v>0.24</v>
      </c>
      <c r="F38" s="44">
        <v>0.27100000000000002</v>
      </c>
      <c r="G38" s="44">
        <v>0.253</v>
      </c>
      <c r="H38" s="44">
        <v>0.27700000000000002</v>
      </c>
      <c r="I38" s="6">
        <v>0.25800000000000001</v>
      </c>
      <c r="J38" s="6">
        <v>0.27800000000000002</v>
      </c>
      <c r="K38" s="6">
        <v>0.25900000000000001</v>
      </c>
      <c r="L38" s="6">
        <v>0.28000000000000003</v>
      </c>
      <c r="M38" s="6">
        <v>0.25900000000000001</v>
      </c>
      <c r="N38" s="6">
        <v>0.315</v>
      </c>
      <c r="O38" s="6">
        <v>0.27</v>
      </c>
      <c r="P38" s="6">
        <v>0.32</v>
      </c>
      <c r="Q38" s="6">
        <v>0.25900000000000001</v>
      </c>
      <c r="R38" s="6">
        <v>0.28599999999999998</v>
      </c>
      <c r="S38" s="44">
        <v>0.26500000000000001</v>
      </c>
      <c r="T38" s="44">
        <v>0.317</v>
      </c>
      <c r="U38" s="44">
        <v>0.33800000000000002</v>
      </c>
      <c r="V38" s="44">
        <v>0.38200000000000001</v>
      </c>
      <c r="W38" s="1"/>
      <c r="X38" s="6">
        <f t="array" ref="X38">SMALL(IF(MOD(COLUMN(C38:U38),2)=1, IF(ISNUMBER(C38:U38), C38:U38)), 1)</f>
        <v>0.24</v>
      </c>
      <c r="Y38" s="6">
        <f t="array" ref="Y38">SMALL(IF(MOD(COLUMN(D38:V38),2)=0, IF(ISNUMBER(D38:V38), D38:V38)), 1)</f>
        <v>0.27100000000000002</v>
      </c>
      <c r="Z38" s="6">
        <f t="array" ref="Z38">SMALL(IF(MOD(COLUMN(C38:U38),2)=1, IF(ISNUMBER(C38:U38), C38:U38)), 2)</f>
        <v>0.253</v>
      </c>
      <c r="AA38" s="6">
        <f t="array" ref="AA38">SMALL(IF(MOD(COLUMN(D38:V38),2)=0, IF(ISNUMBER(D38:V38), D38:V38)), 2)</f>
        <v>0.27700000000000002</v>
      </c>
    </row>
    <row r="39" spans="1:27" ht="13.8" customHeight="1" x14ac:dyDescent="0.3">
      <c r="A39" s="77" t="s">
        <v>26</v>
      </c>
      <c r="B39" s="18">
        <v>96</v>
      </c>
      <c r="C39" s="6"/>
      <c r="D39" s="6"/>
      <c r="E39" s="44">
        <v>0.189</v>
      </c>
      <c r="F39" s="44">
        <v>0.25900000000000001</v>
      </c>
      <c r="G39" s="44">
        <v>0.20499999999999999</v>
      </c>
      <c r="H39" s="44">
        <v>0.24399999999999999</v>
      </c>
      <c r="I39" s="6">
        <v>0.20300000000000001</v>
      </c>
      <c r="J39" s="6">
        <v>0.23699999999999999</v>
      </c>
      <c r="K39" s="6">
        <v>0.23400000000000001</v>
      </c>
      <c r="L39" s="6">
        <v>0.28599999999999998</v>
      </c>
      <c r="M39" s="6">
        <v>0.31</v>
      </c>
      <c r="N39" s="6">
        <v>0.33100000000000002</v>
      </c>
      <c r="O39" s="6">
        <v>0.312</v>
      </c>
      <c r="P39" s="6">
        <v>0.39900000000000002</v>
      </c>
      <c r="Q39" s="6">
        <v>0.25</v>
      </c>
      <c r="R39" s="6">
        <v>0.29199999999999998</v>
      </c>
      <c r="S39" s="44">
        <v>0.28999999999999998</v>
      </c>
      <c r="T39" s="44">
        <v>0.378</v>
      </c>
      <c r="U39" s="44">
        <v>0.88400000000000001</v>
      </c>
      <c r="V39" s="44">
        <v>0.71099999999999997</v>
      </c>
      <c r="W39" s="1"/>
      <c r="X39" s="6">
        <f t="array" ref="X39">SMALL(IF(MOD(COLUMN(C39:U39),2)=1, IF(ISNUMBER(C39:U39), C39:U39)), 1)</f>
        <v>0.189</v>
      </c>
      <c r="Y39" s="6">
        <f t="array" ref="Y39">SMALL(IF(MOD(COLUMN(D39:V39),2)=0, IF(ISNUMBER(D39:V39), D39:V39)), 1)</f>
        <v>0.23699999999999999</v>
      </c>
      <c r="Z39" s="6">
        <f t="array" ref="Z39">SMALL(IF(MOD(COLUMN(C39:U39),2)=1, IF(ISNUMBER(C39:U39), C39:U39)), 2)</f>
        <v>0.20300000000000001</v>
      </c>
      <c r="AA39" s="6">
        <f t="array" ref="AA39">SMALL(IF(MOD(COLUMN(D39:V39),2)=0, IF(ISNUMBER(D39:V39), D39:V39)), 2)</f>
        <v>0.24399999999999999</v>
      </c>
    </row>
    <row r="40" spans="1:27" ht="13.8" customHeight="1" x14ac:dyDescent="0.3">
      <c r="A40" s="78"/>
      <c r="B40" s="18">
        <v>192</v>
      </c>
      <c r="C40" s="6"/>
      <c r="D40" s="6"/>
      <c r="E40" s="44">
        <v>0.222</v>
      </c>
      <c r="F40" s="44">
        <v>0.28299999999999997</v>
      </c>
      <c r="G40" s="44">
        <v>0.23699999999999999</v>
      </c>
      <c r="H40" s="44">
        <v>0.27</v>
      </c>
      <c r="I40" s="6">
        <v>0.23300000000000001</v>
      </c>
      <c r="J40" s="6">
        <v>0.26100000000000001</v>
      </c>
      <c r="K40" s="6">
        <v>0.26700000000000002</v>
      </c>
      <c r="L40" s="6">
        <v>0.31</v>
      </c>
      <c r="M40" s="6">
        <v>0.73399999999999999</v>
      </c>
      <c r="N40" s="6">
        <v>0.72499999999999998</v>
      </c>
      <c r="O40" s="6">
        <v>0.33900000000000002</v>
      </c>
      <c r="P40" s="6">
        <v>0.41599999999999998</v>
      </c>
      <c r="Q40" s="6">
        <v>0.29599999999999999</v>
      </c>
      <c r="R40" s="6">
        <v>0.318</v>
      </c>
      <c r="S40" s="44">
        <v>0.32</v>
      </c>
      <c r="T40" s="44">
        <v>0.39800000000000002</v>
      </c>
      <c r="U40" s="44">
        <v>0.83399999999999996</v>
      </c>
      <c r="V40" s="44">
        <v>0.69199999999999995</v>
      </c>
      <c r="W40" s="1"/>
      <c r="X40" s="6">
        <f t="array" ref="X40">SMALL(IF(MOD(COLUMN(C40:U40),2)=1, IF(ISNUMBER(C40:U40), C40:U40)), 1)</f>
        <v>0.222</v>
      </c>
      <c r="Y40" s="6">
        <f t="array" ref="Y40">SMALL(IF(MOD(COLUMN(D40:V40),2)=0, IF(ISNUMBER(D40:V40), D40:V40)), 1)</f>
        <v>0.26100000000000001</v>
      </c>
      <c r="Z40" s="6">
        <f t="array" ref="Z40">SMALL(IF(MOD(COLUMN(C40:U40),2)=1, IF(ISNUMBER(C40:U40), C40:U40)), 2)</f>
        <v>0.23300000000000001</v>
      </c>
      <c r="AA40" s="6">
        <f t="array" ref="AA40">SMALL(IF(MOD(COLUMN(D40:V40),2)=0, IF(ISNUMBER(D40:V40), D40:V40)), 2)</f>
        <v>0.27</v>
      </c>
    </row>
    <row r="41" spans="1:27" ht="13.8" customHeight="1" x14ac:dyDescent="0.3">
      <c r="A41" s="78"/>
      <c r="B41" s="18">
        <v>336</v>
      </c>
      <c r="C41" s="6"/>
      <c r="D41" s="6"/>
      <c r="E41" s="44">
        <v>0.23100000000000001</v>
      </c>
      <c r="F41" s="44">
        <v>0.29199999999999998</v>
      </c>
      <c r="G41" s="44">
        <v>0.25800000000000001</v>
      </c>
      <c r="H41" s="44">
        <v>0.28799999999999998</v>
      </c>
      <c r="I41" s="6">
        <v>0.248</v>
      </c>
      <c r="J41" s="6">
        <v>0.27300000000000002</v>
      </c>
      <c r="K41" s="6">
        <v>0.28999999999999998</v>
      </c>
      <c r="L41" s="6">
        <v>0.315</v>
      </c>
      <c r="M41" s="6">
        <v>0.75</v>
      </c>
      <c r="N41" s="6">
        <v>0.73499999999999999</v>
      </c>
      <c r="O41" s="6">
        <v>0.36799999999999999</v>
      </c>
      <c r="P41" s="6">
        <v>0.43</v>
      </c>
      <c r="Q41" s="6">
        <v>0.31900000000000001</v>
      </c>
      <c r="R41" s="6">
        <v>0.33</v>
      </c>
      <c r="S41" s="44">
        <v>0.35299999999999998</v>
      </c>
      <c r="T41" s="44">
        <v>0.41499999999999998</v>
      </c>
      <c r="U41" s="44">
        <v>0.94099999999999995</v>
      </c>
      <c r="V41" s="44">
        <v>0.72299999999999998</v>
      </c>
      <c r="W41" s="1"/>
      <c r="X41" s="6">
        <f t="array" ref="X41">SMALL(IF(MOD(COLUMN(C41:U41),2)=1, IF(ISNUMBER(C41:U41), C41:U41)), 1)</f>
        <v>0.23100000000000001</v>
      </c>
      <c r="Y41" s="6">
        <f t="array" ref="Y41">SMALL(IF(MOD(COLUMN(D41:V41),2)=0, IF(ISNUMBER(D41:V41), D41:V41)), 1)</f>
        <v>0.27300000000000002</v>
      </c>
      <c r="Z41" s="6">
        <f t="array" ref="Z41">SMALL(IF(MOD(COLUMN(C41:U41),2)=1, IF(ISNUMBER(C41:U41), C41:U41)), 2)</f>
        <v>0.248</v>
      </c>
      <c r="AA41" s="6">
        <f t="array" ref="AA41">SMALL(IF(MOD(COLUMN(D41:V41),2)=0, IF(ISNUMBER(D41:V41), D41:V41)), 2)</f>
        <v>0.28799999999999998</v>
      </c>
    </row>
    <row r="42" spans="1:27" ht="13.8" customHeight="1" x14ac:dyDescent="0.3">
      <c r="A42" s="78"/>
      <c r="B42" s="18">
        <v>720</v>
      </c>
      <c r="C42" s="6"/>
      <c r="D42" s="6"/>
      <c r="E42" s="44">
        <v>0.223</v>
      </c>
      <c r="F42" s="44">
        <v>0.28499999999999998</v>
      </c>
      <c r="G42" s="44">
        <v>0.26</v>
      </c>
      <c r="H42" s="44">
        <v>0.28799999999999998</v>
      </c>
      <c r="I42" s="6">
        <v>0.249</v>
      </c>
      <c r="J42" s="6">
        <v>0.27500000000000002</v>
      </c>
      <c r="K42" s="6">
        <v>0.28899999999999998</v>
      </c>
      <c r="L42" s="6">
        <v>0.317</v>
      </c>
      <c r="M42" s="6">
        <v>0.76900000000000002</v>
      </c>
      <c r="N42" s="6">
        <v>0.76500000000000001</v>
      </c>
      <c r="O42" s="6">
        <v>0.37</v>
      </c>
      <c r="P42" s="6">
        <v>0.42499999999999999</v>
      </c>
      <c r="Q42" s="6">
        <v>0.33800000000000002</v>
      </c>
      <c r="R42" s="6">
        <v>0.33700000000000002</v>
      </c>
      <c r="S42" s="44">
        <v>0.35599999999999998</v>
      </c>
      <c r="T42" s="44">
        <v>0.41299999999999998</v>
      </c>
      <c r="U42" s="44">
        <v>0.88200000000000001</v>
      </c>
      <c r="V42" s="44">
        <v>0.71699999999999997</v>
      </c>
      <c r="W42" s="1"/>
      <c r="X42" s="6">
        <f t="array" ref="X42">SMALL(IF(MOD(COLUMN(C42:U42),2)=1, IF(ISNUMBER(C42:U42), C42:U42)), 1)</f>
        <v>0.223</v>
      </c>
      <c r="Y42" s="6">
        <f t="array" ref="Y42">SMALL(IF(MOD(COLUMN(D42:V42),2)=0, IF(ISNUMBER(D42:V42), D42:V42)), 1)</f>
        <v>0.27500000000000002</v>
      </c>
      <c r="Z42" s="6">
        <f t="array" ref="Z42">SMALL(IF(MOD(COLUMN(C42:U42),2)=1, IF(ISNUMBER(C42:U42), C42:U42)), 2)</f>
        <v>0.249</v>
      </c>
      <c r="AA42" s="6">
        <f t="array" ref="AA42">SMALL(IF(MOD(COLUMN(D42:V42),2)=0, IF(ISNUMBER(D42:V42), D42:V42)), 2)</f>
        <v>0.28499999999999998</v>
      </c>
    </row>
    <row r="43" spans="1:27" ht="13.8" customHeight="1" x14ac:dyDescent="0.3">
      <c r="A43" s="79"/>
      <c r="B43" s="18" t="s">
        <v>19</v>
      </c>
      <c r="C43" s="6"/>
      <c r="D43" s="6"/>
      <c r="E43" s="44">
        <v>0.216</v>
      </c>
      <c r="F43" s="44">
        <v>0.28000000000000003</v>
      </c>
      <c r="G43" s="44">
        <v>0.24</v>
      </c>
      <c r="H43" s="44">
        <v>0.27300000000000002</v>
      </c>
      <c r="I43" s="6">
        <v>0.23300000000000001</v>
      </c>
      <c r="J43" s="6">
        <v>0.26200000000000001</v>
      </c>
      <c r="K43" s="6">
        <v>0.27</v>
      </c>
      <c r="L43" s="6">
        <v>0.307</v>
      </c>
      <c r="M43" s="6">
        <v>0.64100000000000001</v>
      </c>
      <c r="N43" s="6">
        <v>0.63900000000000001</v>
      </c>
      <c r="O43" s="6">
        <v>0.34699999999999998</v>
      </c>
      <c r="P43" s="6">
        <v>0.41799999999999998</v>
      </c>
      <c r="Q43" s="6">
        <v>0.30099999999999999</v>
      </c>
      <c r="R43" s="6">
        <v>0.31900000000000001</v>
      </c>
      <c r="S43" s="44">
        <v>0.33</v>
      </c>
      <c r="T43" s="44">
        <v>0.40100000000000002</v>
      </c>
      <c r="U43" s="44">
        <v>0.88500000000000001</v>
      </c>
      <c r="V43" s="44">
        <v>0.71099999999999997</v>
      </c>
      <c r="W43" s="1"/>
      <c r="X43" s="6">
        <f t="array" ref="X43">SMALL(IF(MOD(COLUMN(C43:U43),2)=1, IF(ISNUMBER(C43:U43), C43:U43)), 1)</f>
        <v>0.216</v>
      </c>
      <c r="Y43" s="6">
        <f t="array" ref="Y43">SMALL(IF(MOD(COLUMN(D43:V43),2)=0, IF(ISNUMBER(D43:V43), D43:V43)), 1)</f>
        <v>0.26200000000000001</v>
      </c>
      <c r="Z43" s="6">
        <f t="array" ref="Z43">SMALL(IF(MOD(COLUMN(C43:U43),2)=1, IF(ISNUMBER(C43:U43), C43:U43)), 2)</f>
        <v>0.23300000000000001</v>
      </c>
      <c r="AA43" s="6">
        <f t="array" ref="AA43">SMALL(IF(MOD(COLUMN(D43:V43),2)=0, IF(ISNUMBER(D43:V43), D43:V43)), 2)</f>
        <v>0.27300000000000002</v>
      </c>
    </row>
    <row r="44" spans="1:27" ht="13.8" customHeight="1" x14ac:dyDescent="0.3">
      <c r="A44" s="77" t="s">
        <v>27</v>
      </c>
      <c r="B44" s="18">
        <v>96</v>
      </c>
      <c r="C44" s="6"/>
      <c r="D44" s="6"/>
      <c r="E44" s="44">
        <v>0.46200000000000002</v>
      </c>
      <c r="F44" s="44">
        <v>0.28499999999999998</v>
      </c>
      <c r="G44" s="44">
        <v>0.38200000000000001</v>
      </c>
      <c r="H44" s="44">
        <v>0.26100000000000001</v>
      </c>
      <c r="I44" s="6">
        <v>0.39500000000000002</v>
      </c>
      <c r="J44" s="6">
        <v>0.26800000000000002</v>
      </c>
      <c r="K44" s="6">
        <v>0.46200000000000002</v>
      </c>
      <c r="L44" s="6">
        <v>0.29499999999999998</v>
      </c>
      <c r="M44" s="6">
        <v>0.52200000000000002</v>
      </c>
      <c r="N44" s="6">
        <v>0.28999999999999998</v>
      </c>
      <c r="O44" s="6">
        <v>0.80500000000000005</v>
      </c>
      <c r="P44" s="6">
        <v>0.49299999999999999</v>
      </c>
      <c r="Q44" s="6">
        <v>0.59299999999999997</v>
      </c>
      <c r="R44" s="6">
        <v>0.32100000000000001</v>
      </c>
      <c r="S44" s="44">
        <v>0.65</v>
      </c>
      <c r="T44" s="44">
        <v>0.39600000000000002</v>
      </c>
      <c r="U44" s="44">
        <v>0.61299999999999999</v>
      </c>
      <c r="V44" s="44">
        <v>0.38800000000000001</v>
      </c>
      <c r="W44" s="1"/>
      <c r="X44" s="6">
        <f t="array" ref="X44">SMALL(IF(MOD(COLUMN(C44:U44),2)=1, IF(ISNUMBER(C44:U44), C44:U44)), 1)</f>
        <v>0.38200000000000001</v>
      </c>
      <c r="Y44" s="6">
        <f t="array" ref="Y44">SMALL(IF(MOD(COLUMN(D44:V44),2)=0, IF(ISNUMBER(D44:V44), D44:V44)), 1)</f>
        <v>0.26100000000000001</v>
      </c>
      <c r="Z44" s="6">
        <f t="array" ref="Z44">SMALL(IF(MOD(COLUMN(C44:U44),2)=1, IF(ISNUMBER(C44:U44), C44:U44)), 2)</f>
        <v>0.39500000000000002</v>
      </c>
      <c r="AA44" s="6">
        <f t="array" ref="AA44">SMALL(IF(MOD(COLUMN(D44:V44),2)=0, IF(ISNUMBER(D44:V44), D44:V44)), 2)</f>
        <v>0.26800000000000002</v>
      </c>
    </row>
    <row r="45" spans="1:27" ht="13.8" customHeight="1" x14ac:dyDescent="0.3">
      <c r="A45" s="78"/>
      <c r="B45" s="18">
        <v>192</v>
      </c>
      <c r="C45" s="6"/>
      <c r="D45" s="6"/>
      <c r="E45" s="44">
        <v>0.47299999999999998</v>
      </c>
      <c r="F45" s="44">
        <v>0.29599999999999999</v>
      </c>
      <c r="G45" s="44">
        <v>0.39600000000000002</v>
      </c>
      <c r="H45" s="44">
        <v>0.26700000000000002</v>
      </c>
      <c r="I45" s="6">
        <v>0.41699999999999998</v>
      </c>
      <c r="J45" s="6">
        <v>0.27600000000000002</v>
      </c>
      <c r="K45" s="6">
        <v>0.46600000000000003</v>
      </c>
      <c r="L45" s="6">
        <v>0.29599999999999999</v>
      </c>
      <c r="M45" s="6">
        <v>0.53</v>
      </c>
      <c r="N45" s="6">
        <v>0.29299999999999998</v>
      </c>
      <c r="O45" s="6">
        <v>0.75600000000000001</v>
      </c>
      <c r="P45" s="6">
        <v>0.47399999999999998</v>
      </c>
      <c r="Q45" s="6">
        <v>0.61699999999999999</v>
      </c>
      <c r="R45" s="6">
        <v>0.33600000000000002</v>
      </c>
      <c r="S45" s="44">
        <v>0.59799999999999998</v>
      </c>
      <c r="T45" s="44">
        <v>0.37</v>
      </c>
      <c r="U45" s="44">
        <v>0.61599999999999999</v>
      </c>
      <c r="V45" s="44">
        <v>0.38200000000000001</v>
      </c>
      <c r="W45" s="1"/>
      <c r="X45" s="6">
        <f t="array" ref="X45">SMALL(IF(MOD(COLUMN(C45:U45),2)=1, IF(ISNUMBER(C45:U45), C45:U45)), 1)</f>
        <v>0.39600000000000002</v>
      </c>
      <c r="Y45" s="6">
        <f t="array" ref="Y45">SMALL(IF(MOD(COLUMN(D45:V45),2)=0, IF(ISNUMBER(D45:V45), D45:V45)), 1)</f>
        <v>0.26700000000000002</v>
      </c>
      <c r="Z45" s="6">
        <f t="array" ref="Z45">SMALL(IF(MOD(COLUMN(C45:U45),2)=1, IF(ISNUMBER(C45:U45), C45:U45)), 2)</f>
        <v>0.41699999999999998</v>
      </c>
      <c r="AA45" s="6">
        <f t="array" ref="AA45">SMALL(IF(MOD(COLUMN(D45:V45),2)=0, IF(ISNUMBER(D45:V45), D45:V45)), 2)</f>
        <v>0.27600000000000002</v>
      </c>
    </row>
    <row r="46" spans="1:27" ht="13.8" customHeight="1" x14ac:dyDescent="0.3">
      <c r="A46" s="78"/>
      <c r="B46" s="18">
        <v>336</v>
      </c>
      <c r="C46" s="6"/>
      <c r="D46" s="6"/>
      <c r="E46" s="44">
        <v>0.498</v>
      </c>
      <c r="F46" s="44">
        <v>0.29599999999999999</v>
      </c>
      <c r="G46" s="44">
        <v>0.41699999999999998</v>
      </c>
      <c r="H46" s="44">
        <v>0.27600000000000002</v>
      </c>
      <c r="I46" s="6">
        <v>0.433</v>
      </c>
      <c r="J46" s="6">
        <v>0.28299999999999997</v>
      </c>
      <c r="K46" s="6">
        <v>0.48199999999999998</v>
      </c>
      <c r="L46" s="6">
        <v>0.30399999999999999</v>
      </c>
      <c r="M46" s="6">
        <v>0.55800000000000005</v>
      </c>
      <c r="N46" s="6">
        <v>0.30499999999999999</v>
      </c>
      <c r="O46" s="6">
        <v>0.76200000000000001</v>
      </c>
      <c r="P46" s="6">
        <v>0.47699999999999998</v>
      </c>
      <c r="Q46" s="6">
        <v>0.629</v>
      </c>
      <c r="R46" s="6">
        <v>0.33600000000000002</v>
      </c>
      <c r="S46" s="44">
        <v>0.60499999999999998</v>
      </c>
      <c r="T46" s="44">
        <v>0.373</v>
      </c>
      <c r="U46" s="44">
        <v>0.622</v>
      </c>
      <c r="V46" s="44">
        <v>0.33700000000000002</v>
      </c>
      <c r="W46" s="1"/>
      <c r="X46" s="6">
        <f t="array" ref="X46">SMALL(IF(MOD(COLUMN(C46:U46),2)=1, IF(ISNUMBER(C46:U46), C46:U46)), 1)</f>
        <v>0.41699999999999998</v>
      </c>
      <c r="Y46" s="6">
        <f t="array" ref="Y46">SMALL(IF(MOD(COLUMN(D46:V46),2)=0, IF(ISNUMBER(D46:V46), D46:V46)), 1)</f>
        <v>0.27600000000000002</v>
      </c>
      <c r="Z46" s="6">
        <f t="array" ref="Z46">SMALL(IF(MOD(COLUMN(C46:U46),2)=1, IF(ISNUMBER(C46:U46), C46:U46)), 2)</f>
        <v>0.433</v>
      </c>
      <c r="AA46" s="6">
        <f t="array" ref="AA46">SMALL(IF(MOD(COLUMN(D46:V46),2)=0, IF(ISNUMBER(D46:V46), D46:V46)), 2)</f>
        <v>0.28299999999999997</v>
      </c>
    </row>
    <row r="47" spans="1:27" ht="13.8" customHeight="1" x14ac:dyDescent="0.3">
      <c r="A47" s="78"/>
      <c r="B47" s="18">
        <v>720</v>
      </c>
      <c r="C47" s="6"/>
      <c r="D47" s="6"/>
      <c r="E47" s="44">
        <v>0.50600000000000001</v>
      </c>
      <c r="F47" s="44">
        <v>0.313</v>
      </c>
      <c r="G47" s="44">
        <v>0.46</v>
      </c>
      <c r="H47" s="44">
        <v>0.3</v>
      </c>
      <c r="I47" s="6">
        <v>0.46700000000000003</v>
      </c>
      <c r="J47" s="6">
        <v>0.30199999999999999</v>
      </c>
      <c r="K47" s="6">
        <v>0.51400000000000001</v>
      </c>
      <c r="L47" s="6">
        <v>0.32200000000000001</v>
      </c>
      <c r="M47" s="6">
        <v>0.58899999999999997</v>
      </c>
      <c r="N47" s="6">
        <v>0.32800000000000001</v>
      </c>
      <c r="O47" s="6">
        <v>0.71899999999999997</v>
      </c>
      <c r="P47" s="6">
        <v>0.44900000000000001</v>
      </c>
      <c r="Q47" s="6">
        <v>0.64</v>
      </c>
      <c r="R47" s="6">
        <v>0.35</v>
      </c>
      <c r="S47" s="44">
        <v>0.64500000000000002</v>
      </c>
      <c r="T47" s="44">
        <v>0.39400000000000002</v>
      </c>
      <c r="U47" s="44">
        <v>0.66</v>
      </c>
      <c r="V47" s="44">
        <v>0.40799999999999997</v>
      </c>
      <c r="W47" s="1"/>
      <c r="X47" s="6">
        <f t="array" ref="X47">SMALL(IF(MOD(COLUMN(C47:U47),2)=1, IF(ISNUMBER(C47:U47), C47:U47)), 1)</f>
        <v>0.46</v>
      </c>
      <c r="Y47" s="6">
        <f t="array" ref="Y47">SMALL(IF(MOD(COLUMN(D47:V47),2)=0, IF(ISNUMBER(D47:V47), D47:V47)), 1)</f>
        <v>0.3</v>
      </c>
      <c r="Z47" s="6">
        <f t="array" ref="Z47">SMALL(IF(MOD(COLUMN(C47:U47),2)=1, IF(ISNUMBER(C47:U47), C47:U47)), 2)</f>
        <v>0.46700000000000003</v>
      </c>
      <c r="AA47" s="6">
        <f t="array" ref="AA47">SMALL(IF(MOD(COLUMN(D47:V47),2)=0, IF(ISNUMBER(D47:V47), D47:V47)), 2)</f>
        <v>0.30199999999999999</v>
      </c>
    </row>
    <row r="48" spans="1:27" ht="13.8" customHeight="1" x14ac:dyDescent="0.3">
      <c r="A48" s="79"/>
      <c r="B48" s="18" t="s">
        <v>19</v>
      </c>
      <c r="C48" s="6"/>
      <c r="D48" s="6"/>
      <c r="E48" s="44">
        <v>0.48399999999999999</v>
      </c>
      <c r="F48" s="44">
        <v>0.29699999999999999</v>
      </c>
      <c r="G48" s="44">
        <v>0.41399999999999998</v>
      </c>
      <c r="H48" s="44">
        <v>0.27600000000000002</v>
      </c>
      <c r="I48" s="6">
        <v>0.42799999999999999</v>
      </c>
      <c r="J48" s="6">
        <v>0.28199999999999997</v>
      </c>
      <c r="K48" s="6">
        <v>0.48099999999999998</v>
      </c>
      <c r="L48" s="6">
        <v>0.30399999999999999</v>
      </c>
      <c r="M48" s="6">
        <v>0.55000000000000004</v>
      </c>
      <c r="N48" s="6">
        <v>0.30399999999999999</v>
      </c>
      <c r="O48" s="6">
        <v>0.76</v>
      </c>
      <c r="P48" s="6">
        <v>0.47299999999999998</v>
      </c>
      <c r="Q48" s="6">
        <v>0.62</v>
      </c>
      <c r="R48" s="6">
        <v>0.33600000000000002</v>
      </c>
      <c r="S48" s="44">
        <v>0.625</v>
      </c>
      <c r="T48" s="44">
        <v>0.38300000000000001</v>
      </c>
      <c r="U48" s="44">
        <v>0.628</v>
      </c>
      <c r="V48" s="44">
        <v>0.379</v>
      </c>
      <c r="W48" s="1"/>
      <c r="X48" s="6">
        <f t="array" ref="X48">SMALL(IF(MOD(COLUMN(C48:U48),2)=1, IF(ISNUMBER(C48:U48), C48:U48)), 1)</f>
        <v>0.41399999999999998</v>
      </c>
      <c r="Y48" s="6">
        <f t="array" ref="Y48">SMALL(IF(MOD(COLUMN(D48:V48),2)=0, IF(ISNUMBER(D48:V48), D48:V48)), 1)</f>
        <v>0.27600000000000002</v>
      </c>
      <c r="Z48" s="6">
        <f t="array" ref="Z48">SMALL(IF(MOD(COLUMN(C48:U48),2)=1, IF(ISNUMBER(C48:U48), C48:U48)), 2)</f>
        <v>0.42799999999999999</v>
      </c>
      <c r="AA48" s="6">
        <f t="array" ref="AA48">SMALL(IF(MOD(COLUMN(D48:V48),2)=0, IF(ISNUMBER(D48:V48), D48:V48)), 2)</f>
        <v>0.28199999999999997</v>
      </c>
    </row>
    <row r="49" spans="1:27" ht="13.8" customHeight="1" x14ac:dyDescent="0.3">
      <c r="A49" s="77" t="s">
        <v>28</v>
      </c>
      <c r="B49" s="18">
        <v>12</v>
      </c>
      <c r="C49" s="6"/>
      <c r="D49" s="6"/>
      <c r="E49" s="44"/>
      <c r="F49" s="44"/>
      <c r="G49" s="44">
        <v>6.5000000000000002E-2</v>
      </c>
      <c r="H49" s="44">
        <v>0.16900000000000001</v>
      </c>
      <c r="I49" s="6">
        <v>7.0999999999999994E-2</v>
      </c>
      <c r="J49" s="6">
        <v>0.17399999999999999</v>
      </c>
      <c r="K49" s="6">
        <v>9.9000000000000005E-2</v>
      </c>
      <c r="L49" s="6">
        <v>0.216</v>
      </c>
      <c r="M49" s="6">
        <v>0.09</v>
      </c>
      <c r="N49" s="6">
        <v>0.20300000000000001</v>
      </c>
      <c r="O49" s="6">
        <v>0.17799999999999999</v>
      </c>
      <c r="P49" s="6">
        <v>0.30499999999999999</v>
      </c>
      <c r="Q49" s="6">
        <v>8.5000000000000006E-2</v>
      </c>
      <c r="R49" s="6">
        <v>0.192</v>
      </c>
      <c r="S49" s="44"/>
      <c r="T49" s="44"/>
      <c r="U49" s="44"/>
      <c r="V49" s="44"/>
      <c r="W49" s="1"/>
      <c r="X49" s="6">
        <f t="array" ref="X49">SMALL(IF(MOD(COLUMN(C49:U49),2)=1, IF(ISNUMBER(C49:U49), C49:U49)), 1)</f>
        <v>6.5000000000000002E-2</v>
      </c>
      <c r="Y49" s="6">
        <f t="array" ref="Y49">SMALL(IF(MOD(COLUMN(D49:V49),2)=0, IF(ISNUMBER(D49:V49), D49:V49)), 1)</f>
        <v>0.16900000000000001</v>
      </c>
      <c r="Z49" s="6">
        <f t="array" ref="Z49">SMALL(IF(MOD(COLUMN(C49:U49),2)=1, IF(ISNUMBER(C49:U49), C49:U49)), 2)</f>
        <v>7.0999999999999994E-2</v>
      </c>
      <c r="AA49" s="6">
        <f t="array" ref="AA49">SMALL(IF(MOD(COLUMN(D49:V49),2)=0, IF(ISNUMBER(D49:V49), D49:V49)), 2)</f>
        <v>0.17399999999999999</v>
      </c>
    </row>
    <row r="50" spans="1:27" ht="13.8" customHeight="1" x14ac:dyDescent="0.3">
      <c r="A50" s="78"/>
      <c r="B50" s="18">
        <v>24</v>
      </c>
      <c r="C50" s="6"/>
      <c r="D50" s="6"/>
      <c r="E50" s="44"/>
      <c r="F50" s="44"/>
      <c r="G50" s="44">
        <v>8.6999999999999994E-2</v>
      </c>
      <c r="H50" s="44">
        <v>0.19600000000000001</v>
      </c>
      <c r="I50" s="6">
        <v>9.2999999999999999E-2</v>
      </c>
      <c r="J50" s="6">
        <v>0.20100000000000001</v>
      </c>
      <c r="K50" s="6">
        <v>0.14199999999999999</v>
      </c>
      <c r="L50" s="6">
        <v>0.25900000000000001</v>
      </c>
      <c r="M50" s="6">
        <v>0.121</v>
      </c>
      <c r="N50" s="6">
        <v>0.24</v>
      </c>
      <c r="O50" s="6">
        <v>0.25700000000000001</v>
      </c>
      <c r="P50" s="6">
        <v>0.371</v>
      </c>
      <c r="Q50" s="6">
        <v>0.11799999999999999</v>
      </c>
      <c r="R50" s="6">
        <v>0.223</v>
      </c>
      <c r="S50" s="44"/>
      <c r="T50" s="44"/>
      <c r="U50" s="44"/>
      <c r="V50" s="44"/>
      <c r="W50" s="1"/>
      <c r="X50" s="6">
        <f t="array" ref="X50">SMALL(IF(MOD(COLUMN(C50:U50),2)=1, IF(ISNUMBER(C50:U50), C50:U50)), 1)</f>
        <v>8.6999999999999994E-2</v>
      </c>
      <c r="Y50" s="6">
        <f t="array" ref="Y50">SMALL(IF(MOD(COLUMN(D50:V50),2)=0, IF(ISNUMBER(D50:V50), D50:V50)), 1)</f>
        <v>0.19600000000000001</v>
      </c>
      <c r="Z50" s="6">
        <f t="array" ref="Z50">SMALL(IF(MOD(COLUMN(C50:U50),2)=1, IF(ISNUMBER(C50:U50), C50:U50)), 2)</f>
        <v>9.2999999999999999E-2</v>
      </c>
      <c r="AA50" s="6">
        <f t="array" ref="AA50">SMALL(IF(MOD(COLUMN(D50:V50),2)=0, IF(ISNUMBER(D50:V50), D50:V50)), 2)</f>
        <v>0.20100000000000001</v>
      </c>
    </row>
    <row r="51" spans="1:27" ht="13.8" customHeight="1" x14ac:dyDescent="0.3">
      <c r="A51" s="78"/>
      <c r="B51" s="18">
        <v>48</v>
      </c>
      <c r="C51" s="6"/>
      <c r="D51" s="6"/>
      <c r="E51" s="44"/>
      <c r="F51" s="44"/>
      <c r="G51" s="44">
        <v>0.13300000000000001</v>
      </c>
      <c r="H51" s="44">
        <v>0.24299999999999999</v>
      </c>
      <c r="I51" s="6">
        <v>0.125</v>
      </c>
      <c r="J51" s="6">
        <v>0.23599999999999999</v>
      </c>
      <c r="K51" s="6">
        <v>0.21099999999999999</v>
      </c>
      <c r="L51" s="6">
        <v>0.31900000000000001</v>
      </c>
      <c r="M51" s="6">
        <v>0.20200000000000001</v>
      </c>
      <c r="N51" s="6">
        <v>0.317</v>
      </c>
      <c r="O51" s="6">
        <v>0.379</v>
      </c>
      <c r="P51" s="6">
        <v>0.46300000000000002</v>
      </c>
      <c r="Q51" s="6">
        <v>0.155</v>
      </c>
      <c r="R51" s="6">
        <v>0.26</v>
      </c>
      <c r="S51" s="44"/>
      <c r="T51" s="44"/>
      <c r="U51" s="44"/>
      <c r="V51" s="44"/>
      <c r="W51" s="1"/>
      <c r="X51" s="6">
        <f t="array" ref="X51">SMALL(IF(MOD(COLUMN(C51:U51),2)=1, IF(ISNUMBER(C51:U51), C51:U51)), 1)</f>
        <v>0.125</v>
      </c>
      <c r="Y51" s="6">
        <f t="array" ref="Y51">SMALL(IF(MOD(COLUMN(D51:V51),2)=0, IF(ISNUMBER(D51:V51), D51:V51)), 1)</f>
        <v>0.23599999999999999</v>
      </c>
      <c r="Z51" s="6">
        <f t="array" ref="Z51">SMALL(IF(MOD(COLUMN(C51:U51),2)=1, IF(ISNUMBER(C51:U51), C51:U51)), 2)</f>
        <v>0.13300000000000001</v>
      </c>
      <c r="AA51" s="6">
        <f t="array" ref="AA51">SMALL(IF(MOD(COLUMN(D51:V51),2)=0, IF(ISNUMBER(D51:V51), D51:V51)), 2)</f>
        <v>0.24299999999999999</v>
      </c>
    </row>
    <row r="52" spans="1:27" ht="13.8" customHeight="1" x14ac:dyDescent="0.3">
      <c r="A52" s="78"/>
      <c r="B52" s="18">
        <v>96</v>
      </c>
      <c r="C52" s="6"/>
      <c r="D52" s="6"/>
      <c r="E52" s="44"/>
      <c r="F52" s="44"/>
      <c r="G52" s="44">
        <v>0.20100000000000001</v>
      </c>
      <c r="H52" s="44">
        <v>0.30499999999999999</v>
      </c>
      <c r="I52" s="6">
        <v>0.16400000000000001</v>
      </c>
      <c r="J52" s="6">
        <v>0.27500000000000002</v>
      </c>
      <c r="K52" s="6">
        <v>0.26900000000000002</v>
      </c>
      <c r="L52" s="6">
        <v>0.37</v>
      </c>
      <c r="M52" s="6">
        <v>0.26200000000000001</v>
      </c>
      <c r="N52" s="6">
        <v>0.36699999999999999</v>
      </c>
      <c r="O52" s="6">
        <v>0.49</v>
      </c>
      <c r="P52" s="6">
        <v>0.53900000000000003</v>
      </c>
      <c r="Q52" s="6">
        <v>0.22800000000000001</v>
      </c>
      <c r="R52" s="6">
        <v>0.317</v>
      </c>
      <c r="S52" s="44"/>
      <c r="T52" s="44"/>
      <c r="U52" s="44"/>
      <c r="V52" s="44"/>
      <c r="W52" s="1"/>
      <c r="X52" s="6">
        <f t="array" ref="X52">SMALL(IF(MOD(COLUMN(C52:U52),2)=1, IF(ISNUMBER(C52:U52), C52:U52)), 1)</f>
        <v>0.16400000000000001</v>
      </c>
      <c r="Y52" s="6">
        <f t="array" ref="Y52">SMALL(IF(MOD(COLUMN(D52:V52),2)=0, IF(ISNUMBER(D52:V52), D52:V52)), 1)</f>
        <v>0.27500000000000002</v>
      </c>
      <c r="Z52" s="6">
        <f t="array" ref="Z52">SMALL(IF(MOD(COLUMN(C52:U52),2)=1, IF(ISNUMBER(C52:U52), C52:U52)), 2)</f>
        <v>0.20100000000000001</v>
      </c>
      <c r="AA52" s="6">
        <f t="array" ref="AA52">SMALL(IF(MOD(COLUMN(D52:V52),2)=0, IF(ISNUMBER(D52:V52), D52:V52)), 2)</f>
        <v>0.30499999999999999</v>
      </c>
    </row>
    <row r="53" spans="1:27" ht="13.8" customHeight="1" x14ac:dyDescent="0.3">
      <c r="A53" s="79"/>
      <c r="B53" s="18" t="s">
        <v>19</v>
      </c>
      <c r="C53" s="6"/>
      <c r="D53" s="6"/>
      <c r="E53" s="44"/>
      <c r="F53" s="44"/>
      <c r="G53" s="44">
        <v>0.121</v>
      </c>
      <c r="H53" s="44">
        <v>0.22800000000000001</v>
      </c>
      <c r="I53" s="6">
        <v>0.113</v>
      </c>
      <c r="J53" s="6">
        <v>0.222</v>
      </c>
      <c r="K53" s="6">
        <v>0.18</v>
      </c>
      <c r="L53" s="6">
        <v>0.29099999999999998</v>
      </c>
      <c r="M53" s="6">
        <v>0.16900000000000001</v>
      </c>
      <c r="N53" s="6">
        <v>0.28199999999999997</v>
      </c>
      <c r="O53" s="6">
        <v>0.32600000000000001</v>
      </c>
      <c r="P53" s="6">
        <v>0.41899999999999998</v>
      </c>
      <c r="Q53" s="6">
        <v>0.14599999999999999</v>
      </c>
      <c r="R53" s="6">
        <v>0.248</v>
      </c>
      <c r="S53" s="44"/>
      <c r="T53" s="44"/>
      <c r="U53" s="44"/>
      <c r="V53" s="44"/>
      <c r="W53" s="1"/>
      <c r="X53" s="6">
        <f t="array" ref="X53">SMALL(IF(MOD(COLUMN(C53:U53),2)=1, IF(ISNUMBER(C53:U53), C53:U53)), 1)</f>
        <v>0.113</v>
      </c>
      <c r="Y53" s="6">
        <f t="array" ref="Y53">SMALL(IF(MOD(COLUMN(D53:V53),2)=0, IF(ISNUMBER(D53:V53), D53:V53)), 1)</f>
        <v>0.222</v>
      </c>
      <c r="Z53" s="6">
        <f t="array" ref="Z53">SMALL(IF(MOD(COLUMN(C53:U53),2)=1, IF(ISNUMBER(C53:U53), C53:U53)), 2)</f>
        <v>0.121</v>
      </c>
      <c r="AA53" s="6">
        <f t="array" ref="AA53">SMALL(IF(MOD(COLUMN(D53:V53),2)=0, IF(ISNUMBER(D53:V53), D53:V53)), 2)</f>
        <v>0.22800000000000001</v>
      </c>
    </row>
    <row r="54" spans="1:27" ht="13.8" customHeight="1" x14ac:dyDescent="0.3">
      <c r="A54" s="77" t="s">
        <v>29</v>
      </c>
      <c r="B54" s="18">
        <v>12</v>
      </c>
      <c r="C54" s="6"/>
      <c r="D54" s="6"/>
      <c r="E54" s="44"/>
      <c r="F54" s="44"/>
      <c r="G54" s="44">
        <v>7.5999999999999998E-2</v>
      </c>
      <c r="H54" s="44">
        <v>0.18</v>
      </c>
      <c r="I54" s="6">
        <v>7.8E-2</v>
      </c>
      <c r="J54" s="6">
        <v>0.183</v>
      </c>
      <c r="K54" s="6">
        <v>0.105</v>
      </c>
      <c r="L54" s="6">
        <v>0.224</v>
      </c>
      <c r="M54" s="6">
        <v>9.8000000000000004E-2</v>
      </c>
      <c r="N54" s="6">
        <v>0.218</v>
      </c>
      <c r="O54" s="6">
        <v>0.219</v>
      </c>
      <c r="P54" s="6">
        <v>0.34</v>
      </c>
      <c r="Q54" s="6">
        <v>8.6999999999999994E-2</v>
      </c>
      <c r="R54" s="6">
        <v>0.19500000000000001</v>
      </c>
      <c r="S54" s="44">
        <v>0.14799999999999999</v>
      </c>
      <c r="T54" s="44">
        <v>0.27200000000000002</v>
      </c>
      <c r="U54" s="44">
        <v>0.42399999999999999</v>
      </c>
      <c r="V54" s="44">
        <v>0.49099999999999999</v>
      </c>
      <c r="W54" s="1"/>
      <c r="X54" s="6">
        <f t="array" ref="X54">SMALL(IF(MOD(COLUMN(C54:U54),2)=1, IF(ISNUMBER(C54:U54), C54:U54)), 1)</f>
        <v>7.5999999999999998E-2</v>
      </c>
      <c r="Y54" s="6">
        <f t="array" ref="Y54">SMALL(IF(MOD(COLUMN(D54:V54),2)=0, IF(ISNUMBER(D54:V54), D54:V54)), 1)</f>
        <v>0.18</v>
      </c>
      <c r="Z54" s="6">
        <f t="array" ref="Z54">SMALL(IF(MOD(COLUMN(C54:U54),2)=1, IF(ISNUMBER(C54:U54), C54:U54)), 2)</f>
        <v>7.8E-2</v>
      </c>
      <c r="AA54" s="6">
        <f t="array" ref="AA54">SMALL(IF(MOD(COLUMN(D54:V54),2)=0, IF(ISNUMBER(D54:V54), D54:V54)), 2)</f>
        <v>0.183</v>
      </c>
    </row>
    <row r="55" spans="1:27" ht="13.8" customHeight="1" x14ac:dyDescent="0.3">
      <c r="A55" s="78"/>
      <c r="B55" s="18">
        <v>24</v>
      </c>
      <c r="C55" s="6"/>
      <c r="D55" s="6"/>
      <c r="E55" s="44"/>
      <c r="F55" s="44"/>
      <c r="G55" s="44">
        <v>8.4000000000000005E-2</v>
      </c>
      <c r="H55" s="44">
        <v>0.193</v>
      </c>
      <c r="I55" s="6">
        <v>9.5000000000000001E-2</v>
      </c>
      <c r="J55" s="6">
        <v>0.20499999999999999</v>
      </c>
      <c r="K55" s="6">
        <v>0.153</v>
      </c>
      <c r="L55" s="6">
        <v>0.27500000000000002</v>
      </c>
      <c r="M55" s="6">
        <v>0.13100000000000001</v>
      </c>
      <c r="N55" s="6">
        <v>0.25600000000000001</v>
      </c>
      <c r="O55" s="6">
        <v>0.29199999999999998</v>
      </c>
      <c r="P55" s="6">
        <v>0.39800000000000002</v>
      </c>
      <c r="Q55" s="6">
        <v>0.10299999999999999</v>
      </c>
      <c r="R55" s="6">
        <v>0.215</v>
      </c>
      <c r="S55" s="44">
        <v>0.224</v>
      </c>
      <c r="T55" s="44">
        <v>0.34</v>
      </c>
      <c r="U55" s="44">
        <v>0.45900000000000002</v>
      </c>
      <c r="V55" s="44">
        <v>0.50900000000000001</v>
      </c>
      <c r="W55" s="1"/>
      <c r="X55" s="6">
        <f t="array" ref="X55">SMALL(IF(MOD(COLUMN(C55:U55),2)=1, IF(ISNUMBER(C55:U55), C55:U55)), 1)</f>
        <v>8.4000000000000005E-2</v>
      </c>
      <c r="Y55" s="6">
        <f t="array" ref="Y55">SMALL(IF(MOD(COLUMN(D55:V55),2)=0, IF(ISNUMBER(D55:V55), D55:V55)), 1)</f>
        <v>0.193</v>
      </c>
      <c r="Z55" s="6">
        <f t="array" ref="Z55">SMALL(IF(MOD(COLUMN(C55:U55),2)=1, IF(ISNUMBER(C55:U55), C55:U55)), 2)</f>
        <v>9.5000000000000001E-2</v>
      </c>
      <c r="AA55" s="6">
        <f t="array" ref="AA55">SMALL(IF(MOD(COLUMN(D55:V55),2)=0, IF(ISNUMBER(D55:V55), D55:V55)), 2)</f>
        <v>0.20499999999999999</v>
      </c>
    </row>
    <row r="56" spans="1:27" ht="13.8" customHeight="1" x14ac:dyDescent="0.3">
      <c r="A56" s="78"/>
      <c r="B56" s="18">
        <v>48</v>
      </c>
      <c r="C56" s="6"/>
      <c r="D56" s="6"/>
      <c r="E56" s="44"/>
      <c r="F56" s="44"/>
      <c r="G56" s="44">
        <v>0.115</v>
      </c>
      <c r="H56" s="44">
        <v>0.224</v>
      </c>
      <c r="I56" s="6">
        <v>0.12</v>
      </c>
      <c r="J56" s="6">
        <v>0.23300000000000001</v>
      </c>
      <c r="K56" s="6">
        <v>0.22900000000000001</v>
      </c>
      <c r="L56" s="6">
        <v>0.33900000000000002</v>
      </c>
      <c r="M56" s="6">
        <v>0.20499999999999999</v>
      </c>
      <c r="N56" s="6">
        <v>0.32600000000000001</v>
      </c>
      <c r="O56" s="6">
        <v>0.40899999999999997</v>
      </c>
      <c r="P56" s="6">
        <v>0.47799999999999998</v>
      </c>
      <c r="Q56" s="6">
        <v>0.13600000000000001</v>
      </c>
      <c r="R56" s="6">
        <v>0.25</v>
      </c>
      <c r="S56" s="44">
        <v>0.35499999999999998</v>
      </c>
      <c r="T56" s="44">
        <v>0.437</v>
      </c>
      <c r="U56" s="44">
        <v>0.64600000000000002</v>
      </c>
      <c r="V56" s="44">
        <v>0.61</v>
      </c>
      <c r="W56" s="1"/>
      <c r="X56" s="6">
        <f t="array" ref="X56">SMALL(IF(MOD(COLUMN(C56:U56),2)=1, IF(ISNUMBER(C56:U56), C56:U56)), 1)</f>
        <v>0.115</v>
      </c>
      <c r="Y56" s="6">
        <f t="array" ref="Y56">SMALL(IF(MOD(COLUMN(D56:V56),2)=0, IF(ISNUMBER(D56:V56), D56:V56)), 1)</f>
        <v>0.224</v>
      </c>
      <c r="Z56" s="6">
        <f t="array" ref="Z56">SMALL(IF(MOD(COLUMN(C56:U56),2)=1, IF(ISNUMBER(C56:U56), C56:U56)), 2)</f>
        <v>0.12</v>
      </c>
      <c r="AA56" s="6">
        <f t="array" ref="AA56">SMALL(IF(MOD(COLUMN(D56:V56),2)=0, IF(ISNUMBER(D56:V56), D56:V56)), 2)</f>
        <v>0.23300000000000001</v>
      </c>
    </row>
    <row r="57" spans="1:27" ht="13.8" customHeight="1" x14ac:dyDescent="0.3">
      <c r="A57" s="78"/>
      <c r="B57" s="18">
        <v>96</v>
      </c>
      <c r="C57" s="6"/>
      <c r="D57" s="6"/>
      <c r="E57" s="44"/>
      <c r="F57" s="44"/>
      <c r="G57" s="44">
        <v>0.13700000000000001</v>
      </c>
      <c r="H57" s="44">
        <v>0.248</v>
      </c>
      <c r="I57" s="6">
        <v>0.15</v>
      </c>
      <c r="J57" s="6">
        <v>0.26200000000000001</v>
      </c>
      <c r="K57" s="6">
        <v>0.29099999999999998</v>
      </c>
      <c r="L57" s="6">
        <v>0.38900000000000001</v>
      </c>
      <c r="M57" s="6">
        <v>0.40200000000000002</v>
      </c>
      <c r="N57" s="6">
        <v>0.45700000000000002</v>
      </c>
      <c r="O57" s="6">
        <v>0.49199999999999999</v>
      </c>
      <c r="P57" s="6">
        <v>0.53200000000000003</v>
      </c>
      <c r="Q57" s="6">
        <v>0.19</v>
      </c>
      <c r="R57" s="6">
        <v>0.30299999999999999</v>
      </c>
      <c r="S57" s="44">
        <v>0.45200000000000001</v>
      </c>
      <c r="T57" s="44">
        <v>0.504</v>
      </c>
      <c r="U57" s="44">
        <v>0.91200000000000003</v>
      </c>
      <c r="V57" s="44">
        <v>0.748</v>
      </c>
      <c r="W57" s="1"/>
      <c r="X57" s="6">
        <f t="array" ref="X57">SMALL(IF(MOD(COLUMN(C57:U57),2)=1, IF(ISNUMBER(C57:U57), C57:U57)), 1)</f>
        <v>0.13700000000000001</v>
      </c>
      <c r="Y57" s="6">
        <f t="array" ref="Y57">SMALL(IF(MOD(COLUMN(D57:V57),2)=0, IF(ISNUMBER(D57:V57), D57:V57)), 1)</f>
        <v>0.248</v>
      </c>
      <c r="Z57" s="6">
        <f t="array" ref="Z57">SMALL(IF(MOD(COLUMN(C57:U57),2)=1, IF(ISNUMBER(C57:U57), C57:U57)), 2)</f>
        <v>0.15</v>
      </c>
      <c r="AA57" s="6">
        <f t="array" ref="AA57">SMALL(IF(MOD(COLUMN(D57:V57),2)=0, IF(ISNUMBER(D57:V57), D57:V57)), 2)</f>
        <v>0.26200000000000001</v>
      </c>
    </row>
    <row r="58" spans="1:27" ht="13.8" customHeight="1" x14ac:dyDescent="0.3">
      <c r="A58" s="79"/>
      <c r="B58" s="18" t="s">
        <v>19</v>
      </c>
      <c r="C58" s="6"/>
      <c r="D58" s="6"/>
      <c r="E58" s="44"/>
      <c r="F58" s="44"/>
      <c r="G58" s="44">
        <v>0.10299999999999999</v>
      </c>
      <c r="H58" s="44">
        <v>0.21099999999999999</v>
      </c>
      <c r="I58" s="6">
        <v>0.111</v>
      </c>
      <c r="J58" s="6">
        <v>0.221</v>
      </c>
      <c r="K58" s="6">
        <v>0.19500000000000001</v>
      </c>
      <c r="L58" s="6">
        <v>0.307</v>
      </c>
      <c r="M58" s="6">
        <v>0.20899999999999999</v>
      </c>
      <c r="N58" s="6">
        <v>0.314</v>
      </c>
      <c r="O58" s="6">
        <v>0.35299999999999998</v>
      </c>
      <c r="P58" s="6">
        <v>0.437</v>
      </c>
      <c r="Q58" s="6">
        <v>0.129</v>
      </c>
      <c r="R58" s="6">
        <v>0.24099999999999999</v>
      </c>
      <c r="S58" s="44">
        <v>0.29499999999999998</v>
      </c>
      <c r="T58" s="44">
        <v>0.38800000000000001</v>
      </c>
      <c r="U58" s="44">
        <v>0.61</v>
      </c>
      <c r="V58" s="44">
        <v>0.59</v>
      </c>
      <c r="W58" s="1"/>
      <c r="X58" s="6">
        <f t="array" ref="X58">SMALL(IF(MOD(COLUMN(C58:U58),2)=1, IF(ISNUMBER(C58:U58), C58:U58)), 1)</f>
        <v>0.10299999999999999</v>
      </c>
      <c r="Y58" s="6">
        <f t="array" ref="Y58">SMALL(IF(MOD(COLUMN(D58:V58),2)=0, IF(ISNUMBER(D58:V58), D58:V58)), 1)</f>
        <v>0.21099999999999999</v>
      </c>
      <c r="Z58" s="6">
        <f t="array" ref="Z58">SMALL(IF(MOD(COLUMN(C58:U58),2)=1, IF(ISNUMBER(C58:U58), C58:U58)), 2)</f>
        <v>0.111</v>
      </c>
      <c r="AA58" s="6">
        <f t="array" ref="AA58">SMALL(IF(MOD(COLUMN(D58:V58),2)=0, IF(ISNUMBER(D58:V58), D58:V58)), 2)</f>
        <v>0.221</v>
      </c>
    </row>
    <row r="59" spans="1:27" ht="13.8" customHeight="1" x14ac:dyDescent="0.3">
      <c r="A59" s="77" t="s">
        <v>30</v>
      </c>
      <c r="B59" s="18">
        <v>12</v>
      </c>
      <c r="C59" s="6"/>
      <c r="D59" s="6"/>
      <c r="E59" s="44"/>
      <c r="F59" s="44"/>
      <c r="G59" s="44">
        <v>6.3E-2</v>
      </c>
      <c r="H59" s="44">
        <v>0.159</v>
      </c>
      <c r="I59" s="6">
        <v>6.7000000000000004E-2</v>
      </c>
      <c r="J59" s="6">
        <v>0.16500000000000001</v>
      </c>
      <c r="K59" s="6">
        <v>9.5000000000000001E-2</v>
      </c>
      <c r="L59" s="6">
        <v>0.20699999999999999</v>
      </c>
      <c r="M59" s="6">
        <v>9.4E-2</v>
      </c>
      <c r="N59" s="6">
        <v>0.2</v>
      </c>
      <c r="O59" s="6">
        <v>0.17299999999999999</v>
      </c>
      <c r="P59" s="6">
        <v>0.30399999999999999</v>
      </c>
      <c r="Q59" s="6">
        <v>8.2000000000000003E-2</v>
      </c>
      <c r="R59" s="6">
        <v>0.18099999999999999</v>
      </c>
      <c r="S59" s="44"/>
      <c r="T59" s="44"/>
      <c r="U59" s="44"/>
      <c r="V59" s="44"/>
      <c r="W59" s="1"/>
      <c r="X59" s="6">
        <f t="array" ref="X59">SMALL(IF(MOD(COLUMN(C59:U59),2)=1, IF(ISNUMBER(C59:U59), C59:U59)), 1)</f>
        <v>6.3E-2</v>
      </c>
      <c r="Y59" s="6">
        <f t="array" ref="Y59">SMALL(IF(MOD(COLUMN(D59:V59),2)=0, IF(ISNUMBER(D59:V59), D59:V59)), 1)</f>
        <v>0.159</v>
      </c>
      <c r="Z59" s="6">
        <f t="array" ref="Z59">SMALL(IF(MOD(COLUMN(C59:U59),2)=1, IF(ISNUMBER(C59:U59), C59:U59)), 2)</f>
        <v>6.7000000000000004E-2</v>
      </c>
      <c r="AA59" s="6">
        <f t="array" ref="AA59">SMALL(IF(MOD(COLUMN(D59:V59),2)=0, IF(ISNUMBER(D59:V59), D59:V59)), 2)</f>
        <v>0.16500000000000001</v>
      </c>
    </row>
    <row r="60" spans="1:27" ht="13.8" customHeight="1" x14ac:dyDescent="0.3">
      <c r="A60" s="78"/>
      <c r="B60" s="18">
        <v>24</v>
      </c>
      <c r="C60" s="6"/>
      <c r="D60" s="6"/>
      <c r="E60" s="44"/>
      <c r="F60" s="44"/>
      <c r="G60" s="44">
        <v>8.1000000000000003E-2</v>
      </c>
      <c r="H60" s="44">
        <v>0.183</v>
      </c>
      <c r="I60" s="6">
        <v>8.7999999999999995E-2</v>
      </c>
      <c r="J60" s="6">
        <v>0.19</v>
      </c>
      <c r="K60" s="6">
        <v>0.15</v>
      </c>
      <c r="L60" s="6">
        <v>0.26200000000000001</v>
      </c>
      <c r="M60" s="6">
        <v>0.13900000000000001</v>
      </c>
      <c r="N60" s="6">
        <v>0.247</v>
      </c>
      <c r="O60" s="6">
        <v>0.27100000000000002</v>
      </c>
      <c r="P60" s="6">
        <v>0.38300000000000001</v>
      </c>
      <c r="Q60" s="6">
        <v>0.10100000000000001</v>
      </c>
      <c r="R60" s="6">
        <v>0.20399999999999999</v>
      </c>
      <c r="S60" s="44"/>
      <c r="T60" s="44"/>
      <c r="U60" s="44"/>
      <c r="V60" s="44"/>
      <c r="W60" s="1"/>
      <c r="X60" s="6">
        <f t="array" ref="X60">SMALL(IF(MOD(COLUMN(C60:U60),2)=1, IF(ISNUMBER(C60:U60), C60:U60)), 1)</f>
        <v>8.1000000000000003E-2</v>
      </c>
      <c r="Y60" s="6">
        <f t="array" ref="Y60">SMALL(IF(MOD(COLUMN(D60:V60),2)=0, IF(ISNUMBER(D60:V60), D60:V60)), 1)</f>
        <v>0.183</v>
      </c>
      <c r="Z60" s="6">
        <f t="array" ref="Z60">SMALL(IF(MOD(COLUMN(C60:U60),2)=1, IF(ISNUMBER(C60:U60), C60:U60)), 2)</f>
        <v>8.7999999999999995E-2</v>
      </c>
      <c r="AA60" s="6">
        <f t="array" ref="AA60">SMALL(IF(MOD(COLUMN(D60:V60),2)=0, IF(ISNUMBER(D60:V60), D60:V60)), 2)</f>
        <v>0.19</v>
      </c>
    </row>
    <row r="61" spans="1:27" ht="13.8" customHeight="1" x14ac:dyDescent="0.3">
      <c r="A61" s="78"/>
      <c r="B61" s="18">
        <v>48</v>
      </c>
      <c r="C61" s="6"/>
      <c r="D61" s="6"/>
      <c r="E61" s="44"/>
      <c r="F61" s="44"/>
      <c r="G61" s="44">
        <v>9.2999999999999999E-2</v>
      </c>
      <c r="H61" s="44">
        <v>0.192</v>
      </c>
      <c r="I61" s="6">
        <v>0.11</v>
      </c>
      <c r="J61" s="6">
        <v>0.215</v>
      </c>
      <c r="K61" s="6">
        <v>0.253</v>
      </c>
      <c r="L61" s="6">
        <v>0.34</v>
      </c>
      <c r="M61" s="6">
        <v>0.311</v>
      </c>
      <c r="N61" s="6">
        <v>0.36899999999999999</v>
      </c>
      <c r="O61" s="6">
        <v>0.44600000000000001</v>
      </c>
      <c r="P61" s="6">
        <v>0.495</v>
      </c>
      <c r="Q61" s="6">
        <v>0.13400000000000001</v>
      </c>
      <c r="R61" s="6">
        <v>0.23799999999999999</v>
      </c>
      <c r="S61" s="44"/>
      <c r="T61" s="44"/>
      <c r="U61" s="44"/>
      <c r="V61" s="44"/>
      <c r="W61" s="1"/>
      <c r="X61" s="6">
        <f t="array" ref="X61">SMALL(IF(MOD(COLUMN(C61:U61),2)=1, IF(ISNUMBER(C61:U61), C61:U61)), 1)</f>
        <v>9.2999999999999999E-2</v>
      </c>
      <c r="Y61" s="6">
        <f t="array" ref="Y61">SMALL(IF(MOD(COLUMN(D61:V61),2)=0, IF(ISNUMBER(D61:V61), D61:V61)), 1)</f>
        <v>0.192</v>
      </c>
      <c r="Z61" s="6">
        <f t="array" ref="Z61">SMALL(IF(MOD(COLUMN(C61:U61),2)=1, IF(ISNUMBER(C61:U61), C61:U61)), 2)</f>
        <v>0.11</v>
      </c>
      <c r="AA61" s="6">
        <f t="array" ref="AA61">SMALL(IF(MOD(COLUMN(D61:V61),2)=0, IF(ISNUMBER(D61:V61), D61:V61)), 2)</f>
        <v>0.215</v>
      </c>
    </row>
    <row r="62" spans="1:27" ht="13.8" customHeight="1" x14ac:dyDescent="0.3">
      <c r="A62" s="78"/>
      <c r="B62" s="18">
        <v>96</v>
      </c>
      <c r="C62" s="6"/>
      <c r="D62" s="6"/>
      <c r="E62" s="44"/>
      <c r="F62" s="44"/>
      <c r="G62" s="44">
        <v>0.11700000000000001</v>
      </c>
      <c r="H62" s="44">
        <v>0.217</v>
      </c>
      <c r="I62" s="6">
        <v>0.13900000000000001</v>
      </c>
      <c r="J62" s="6">
        <v>0.245</v>
      </c>
      <c r="K62" s="6">
        <v>0.34599999999999997</v>
      </c>
      <c r="L62" s="6">
        <v>0.40400000000000003</v>
      </c>
      <c r="M62" s="6">
        <v>0.39600000000000002</v>
      </c>
      <c r="N62" s="6">
        <v>0.442</v>
      </c>
      <c r="O62" s="6">
        <v>0.628</v>
      </c>
      <c r="P62" s="6">
        <v>0.57699999999999996</v>
      </c>
      <c r="Q62" s="6">
        <v>0.18099999999999999</v>
      </c>
      <c r="R62" s="6">
        <v>0.27900000000000003</v>
      </c>
      <c r="S62" s="44"/>
      <c r="T62" s="44"/>
      <c r="U62" s="44"/>
      <c r="V62" s="44"/>
      <c r="W62" s="1"/>
      <c r="X62" s="6">
        <f t="array" ref="X62">SMALL(IF(MOD(COLUMN(C62:U62),2)=1, IF(ISNUMBER(C62:U62), C62:U62)), 1)</f>
        <v>0.11700000000000001</v>
      </c>
      <c r="Y62" s="6">
        <f t="array" ref="Y62">SMALL(IF(MOD(COLUMN(D62:V62),2)=0, IF(ISNUMBER(D62:V62), D62:V62)), 1)</f>
        <v>0.217</v>
      </c>
      <c r="Z62" s="6">
        <f t="array" ref="Z62">SMALL(IF(MOD(COLUMN(C62:U62),2)=1, IF(ISNUMBER(C62:U62), C62:U62)), 2)</f>
        <v>0.13900000000000001</v>
      </c>
      <c r="AA62" s="6">
        <f t="array" ref="AA62">SMALL(IF(MOD(COLUMN(D62:V62),2)=0, IF(ISNUMBER(D62:V62), D62:V62)), 2)</f>
        <v>0.245</v>
      </c>
    </row>
    <row r="63" spans="1:27" ht="13.8" customHeight="1" x14ac:dyDescent="0.3">
      <c r="A63" s="79"/>
      <c r="B63" s="18" t="s">
        <v>19</v>
      </c>
      <c r="C63" s="6"/>
      <c r="D63" s="6"/>
      <c r="E63" s="44"/>
      <c r="F63" s="44"/>
      <c r="G63" s="44">
        <v>8.7999999999999995E-2</v>
      </c>
      <c r="H63" s="44">
        <v>0.188</v>
      </c>
      <c r="I63" s="6">
        <v>0.10100000000000001</v>
      </c>
      <c r="J63" s="6">
        <v>0.20399999999999999</v>
      </c>
      <c r="K63" s="6">
        <v>0.21099999999999999</v>
      </c>
      <c r="L63" s="6">
        <v>0.30299999999999999</v>
      </c>
      <c r="M63" s="6">
        <v>0.23499999999999999</v>
      </c>
      <c r="N63" s="6">
        <v>0.315</v>
      </c>
      <c r="O63" s="6">
        <v>0.38</v>
      </c>
      <c r="P63" s="6">
        <v>0.44</v>
      </c>
      <c r="Q63" s="6">
        <v>0.124</v>
      </c>
      <c r="R63" s="6">
        <v>0.22600000000000001</v>
      </c>
      <c r="S63" s="44"/>
      <c r="T63" s="44"/>
      <c r="U63" s="44"/>
      <c r="V63" s="44"/>
      <c r="W63" s="1"/>
      <c r="X63" s="6">
        <f t="array" ref="X63">SMALL(IF(MOD(COLUMN(C63:U63),2)=1, IF(ISNUMBER(C63:U63), C63:U63)), 1)</f>
        <v>8.7999999999999995E-2</v>
      </c>
      <c r="Y63" s="6">
        <f t="array" ref="Y63">SMALL(IF(MOD(COLUMN(D63:V63),2)=0, IF(ISNUMBER(D63:V63), D63:V63)), 1)</f>
        <v>0.188</v>
      </c>
      <c r="Z63" s="6">
        <f t="array" ref="Z63">SMALL(IF(MOD(COLUMN(C63:U63),2)=1, IF(ISNUMBER(C63:U63), C63:U63)), 2)</f>
        <v>0.10100000000000001</v>
      </c>
      <c r="AA63" s="6">
        <f t="array" ref="AA63">SMALL(IF(MOD(COLUMN(D63:V63),2)=0, IF(ISNUMBER(D63:V63), D63:V63)), 2)</f>
        <v>0.20399999999999999</v>
      </c>
    </row>
    <row r="64" spans="1:27" ht="13.8" customHeight="1" x14ac:dyDescent="0.3">
      <c r="A64" s="77" t="s">
        <v>31</v>
      </c>
      <c r="B64" s="18">
        <v>12</v>
      </c>
      <c r="C64" s="6">
        <v>7.1999999999999995E-2</v>
      </c>
      <c r="D64" s="6">
        <v>0.17399999999999999</v>
      </c>
      <c r="E64" s="44"/>
      <c r="F64" s="44"/>
      <c r="G64" s="44">
        <v>7.5999999999999998E-2</v>
      </c>
      <c r="H64" s="44">
        <v>0.17799999999999999</v>
      </c>
      <c r="I64" s="6">
        <v>7.9000000000000001E-2</v>
      </c>
      <c r="J64" s="6">
        <v>0.182</v>
      </c>
      <c r="K64" s="6">
        <v>0.16800000000000001</v>
      </c>
      <c r="L64" s="6">
        <v>0.23200000000000001</v>
      </c>
      <c r="M64" s="6">
        <v>0.16500000000000001</v>
      </c>
      <c r="N64" s="6">
        <v>0.214</v>
      </c>
      <c r="O64" s="6">
        <v>0.22700000000000001</v>
      </c>
      <c r="P64" s="6">
        <v>0.34300000000000003</v>
      </c>
      <c r="Q64" s="6">
        <v>0.112</v>
      </c>
      <c r="R64" s="6">
        <v>0.21199999999999999</v>
      </c>
      <c r="S64" s="44">
        <v>0.154</v>
      </c>
      <c r="T64" s="44">
        <v>0.27600000000000002</v>
      </c>
      <c r="U64" s="44">
        <v>0.436</v>
      </c>
      <c r="V64" s="44">
        <v>0.48499999999999999</v>
      </c>
      <c r="W64" s="1"/>
      <c r="X64" s="6">
        <f t="array" ref="X64">SMALL(IF(MOD(COLUMN(C64:U64),2)=1, IF(ISNUMBER(C64:U64), C64:U64)), 1)</f>
        <v>7.1999999999999995E-2</v>
      </c>
      <c r="Y64" s="6">
        <f t="array" ref="Y64">SMALL(IF(MOD(COLUMN(D64:V64),2)=0, IF(ISNUMBER(D64:V64), D64:V64)), 1)</f>
        <v>0.17399999999999999</v>
      </c>
      <c r="Z64" s="6">
        <f t="array" ref="Z64">SMALL(IF(MOD(COLUMN(C64:U64),2)=1, IF(ISNUMBER(C64:U64), C64:U64)), 2)</f>
        <v>7.5999999999999998E-2</v>
      </c>
      <c r="AA64" s="6">
        <f t="array" ref="AA64">SMALL(IF(MOD(COLUMN(D64:V64),2)=0, IF(ISNUMBER(D64:V64), D64:V64)), 2)</f>
        <v>0.17799999999999999</v>
      </c>
    </row>
    <row r="65" spans="1:27" ht="13.8" customHeight="1" x14ac:dyDescent="0.3">
      <c r="A65" s="78"/>
      <c r="B65" s="18">
        <v>24</v>
      </c>
      <c r="C65" s="6">
        <v>9.5000000000000001E-2</v>
      </c>
      <c r="D65" s="6">
        <v>0.19600000000000001</v>
      </c>
      <c r="E65" s="44"/>
      <c r="F65" s="44"/>
      <c r="G65" s="44">
        <v>0.104</v>
      </c>
      <c r="H65" s="44">
        <v>0.20899999999999999</v>
      </c>
      <c r="I65" s="6">
        <v>0.115</v>
      </c>
      <c r="J65" s="6">
        <v>0.219</v>
      </c>
      <c r="K65" s="6">
        <v>0.224</v>
      </c>
      <c r="L65" s="6">
        <v>0.28100000000000003</v>
      </c>
      <c r="M65" s="6">
        <v>0.215</v>
      </c>
      <c r="N65" s="6">
        <v>0.26</v>
      </c>
      <c r="O65" s="6">
        <v>0.318</v>
      </c>
      <c r="P65" s="6">
        <v>0.40899999999999997</v>
      </c>
      <c r="Q65" s="6">
        <v>0.14099999999999999</v>
      </c>
      <c r="R65" s="6">
        <v>0.23799999999999999</v>
      </c>
      <c r="S65" s="44">
        <v>0.248</v>
      </c>
      <c r="T65" s="44">
        <v>0.35299999999999998</v>
      </c>
      <c r="U65" s="44">
        <v>0.46700000000000003</v>
      </c>
      <c r="V65" s="44">
        <v>0.502</v>
      </c>
      <c r="W65" s="1"/>
      <c r="X65" s="6">
        <f t="array" ref="X65">SMALL(IF(MOD(COLUMN(C65:U65),2)=1, IF(ISNUMBER(C65:U65), C65:U65)), 1)</f>
        <v>9.5000000000000001E-2</v>
      </c>
      <c r="Y65" s="6">
        <f t="array" ref="Y65">SMALL(IF(MOD(COLUMN(D65:V65),2)=0, IF(ISNUMBER(D65:V65), D65:V65)), 1)</f>
        <v>0.19600000000000001</v>
      </c>
      <c r="Z65" s="6">
        <f t="array" ref="Z65">SMALL(IF(MOD(COLUMN(C65:U65),2)=1, IF(ISNUMBER(C65:U65), C65:U65)), 2)</f>
        <v>0.104</v>
      </c>
      <c r="AA65" s="6">
        <f t="array" ref="AA65">SMALL(IF(MOD(COLUMN(D65:V65),2)=0, IF(ISNUMBER(D65:V65), D65:V65)), 2)</f>
        <v>0.20899999999999999</v>
      </c>
    </row>
    <row r="66" spans="1:27" ht="13.8" customHeight="1" x14ac:dyDescent="0.3">
      <c r="A66" s="78"/>
      <c r="B66" s="18">
        <v>48</v>
      </c>
      <c r="C66" s="6">
        <v>0.13700000000000001</v>
      </c>
      <c r="D66" s="6">
        <v>0.23300000000000001</v>
      </c>
      <c r="E66" s="44"/>
      <c r="F66" s="44"/>
      <c r="G66" s="44">
        <v>0.16700000000000001</v>
      </c>
      <c r="H66" s="44">
        <v>0.22800000000000001</v>
      </c>
      <c r="I66" s="6">
        <v>0.186</v>
      </c>
      <c r="J66" s="6">
        <v>0.23499999999999999</v>
      </c>
      <c r="K66" s="6">
        <v>0.32100000000000001</v>
      </c>
      <c r="L66" s="6">
        <v>0.35399999999999998</v>
      </c>
      <c r="M66" s="6">
        <v>0.315</v>
      </c>
      <c r="N66" s="6">
        <v>0.35499999999999998</v>
      </c>
      <c r="O66" s="6">
        <v>0.497</v>
      </c>
      <c r="P66" s="6">
        <v>0.51</v>
      </c>
      <c r="Q66" s="6">
        <v>0.19800000000000001</v>
      </c>
      <c r="R66" s="6">
        <v>0.28299999999999997</v>
      </c>
      <c r="S66" s="44">
        <v>0.44</v>
      </c>
      <c r="T66" s="44">
        <v>0.47</v>
      </c>
      <c r="U66" s="44">
        <v>0.96599999999999997</v>
      </c>
      <c r="V66" s="44">
        <v>0.73299999999999998</v>
      </c>
      <c r="W66" s="1"/>
      <c r="X66" s="6">
        <f t="array" ref="X66">SMALL(IF(MOD(COLUMN(C66:U66),2)=1, IF(ISNUMBER(C66:U66), C66:U66)), 1)</f>
        <v>0.13700000000000001</v>
      </c>
      <c r="Y66" s="6">
        <f t="array" ref="Y66">SMALL(IF(MOD(COLUMN(D66:V66),2)=0, IF(ISNUMBER(D66:V66), D66:V66)), 1)</f>
        <v>0.22800000000000001</v>
      </c>
      <c r="Z66" s="6">
        <f t="array" ref="Z66">SMALL(IF(MOD(COLUMN(C66:U66),2)=1, IF(ISNUMBER(C66:U66), C66:U66)), 2)</f>
        <v>0.16700000000000001</v>
      </c>
      <c r="AA66" s="6">
        <f t="array" ref="AA66">SMALL(IF(MOD(COLUMN(D66:V66),2)=0, IF(ISNUMBER(D66:V66), D66:V66)), 2)</f>
        <v>0.23300000000000001</v>
      </c>
    </row>
    <row r="67" spans="1:27" ht="13.8" customHeight="1" x14ac:dyDescent="0.3">
      <c r="A67" s="78"/>
      <c r="B67" s="18">
        <v>96</v>
      </c>
      <c r="C67" s="6">
        <v>0.20799999999999999</v>
      </c>
      <c r="D67" s="6">
        <v>0.27700000000000002</v>
      </c>
      <c r="E67" s="44"/>
      <c r="F67" s="44"/>
      <c r="G67" s="44">
        <v>0.245</v>
      </c>
      <c r="H67" s="44">
        <v>0.28000000000000003</v>
      </c>
      <c r="I67" s="6">
        <v>0.221</v>
      </c>
      <c r="J67" s="6">
        <v>0.26700000000000002</v>
      </c>
      <c r="K67" s="6">
        <v>0.40799999999999997</v>
      </c>
      <c r="L67" s="6">
        <v>0.41699999999999998</v>
      </c>
      <c r="M67" s="6">
        <v>0.377</v>
      </c>
      <c r="N67" s="6">
        <v>0.39700000000000002</v>
      </c>
      <c r="O67" s="6">
        <v>0.72099999999999997</v>
      </c>
      <c r="P67" s="6">
        <v>0.59199999999999997</v>
      </c>
      <c r="Q67" s="6">
        <v>0.32</v>
      </c>
      <c r="R67" s="6">
        <v>0.35099999999999998</v>
      </c>
      <c r="S67" s="44">
        <v>0.67400000000000004</v>
      </c>
      <c r="T67" s="44">
        <v>0.56499999999999995</v>
      </c>
      <c r="U67" s="44">
        <v>1.385</v>
      </c>
      <c r="V67" s="44">
        <v>0.91500000000000004</v>
      </c>
      <c r="W67" s="1"/>
      <c r="X67" s="6">
        <f t="array" ref="X67">SMALL(IF(MOD(COLUMN(C67:U67),2)=1, IF(ISNUMBER(C67:U67), C67:U67)), 1)</f>
        <v>0.20799999999999999</v>
      </c>
      <c r="Y67" s="6">
        <f t="array" ref="Y67">SMALL(IF(MOD(COLUMN(D67:V67),2)=0, IF(ISNUMBER(D67:V67), D67:V67)), 1)</f>
        <v>0.26700000000000002</v>
      </c>
      <c r="Z67" s="6">
        <f t="array" ref="Z67">SMALL(IF(MOD(COLUMN(C67:U67),2)=1, IF(ISNUMBER(C67:U67), C67:U67)), 2)</f>
        <v>0.221</v>
      </c>
      <c r="AA67" s="6">
        <f t="array" ref="AA67">SMALL(IF(MOD(COLUMN(D67:V67),2)=0, IF(ISNUMBER(D67:V67), D67:V67)), 2)</f>
        <v>0.27700000000000002</v>
      </c>
    </row>
    <row r="68" spans="1:27" ht="13.8" customHeight="1" x14ac:dyDescent="0.3">
      <c r="A68" s="79"/>
      <c r="B68" s="18" t="s">
        <v>19</v>
      </c>
      <c r="C68" s="6">
        <v>0.128</v>
      </c>
      <c r="D68" s="6">
        <v>0.22</v>
      </c>
      <c r="E68" s="44"/>
      <c r="F68" s="44"/>
      <c r="G68" s="44">
        <v>0.14799999999999999</v>
      </c>
      <c r="H68" s="44">
        <v>0.224</v>
      </c>
      <c r="I68" s="6">
        <v>0.15</v>
      </c>
      <c r="J68" s="6">
        <v>0.22600000000000001</v>
      </c>
      <c r="K68" s="6">
        <v>0.28000000000000003</v>
      </c>
      <c r="L68" s="6">
        <v>0.32100000000000001</v>
      </c>
      <c r="M68" s="6">
        <v>0.26800000000000002</v>
      </c>
      <c r="N68" s="6">
        <v>0.307</v>
      </c>
      <c r="O68" s="6">
        <v>0.441</v>
      </c>
      <c r="P68" s="6">
        <v>0.46400000000000002</v>
      </c>
      <c r="Q68" s="6">
        <v>0.193</v>
      </c>
      <c r="R68" s="6">
        <v>0.27100000000000002</v>
      </c>
      <c r="S68" s="44">
        <v>0.379</v>
      </c>
      <c r="T68" s="44">
        <v>0.41599999999999998</v>
      </c>
      <c r="U68" s="44">
        <v>0.81399999999999995</v>
      </c>
      <c r="V68" s="44">
        <v>0.65900000000000003</v>
      </c>
      <c r="W68" s="1"/>
      <c r="X68" s="6">
        <f t="array" ref="X68">SMALL(IF(MOD(COLUMN(C68:U68),2)=1, IF(ISNUMBER(C68:U68), C68:U68)), 1)</f>
        <v>0.128</v>
      </c>
      <c r="Y68" s="6">
        <f t="array" ref="Y68">SMALL(IF(MOD(COLUMN(D68:V68),2)=0, IF(ISNUMBER(D68:V68), D68:V68)), 1)</f>
        <v>0.22</v>
      </c>
      <c r="Z68" s="6">
        <f t="array" ref="Z68">SMALL(IF(MOD(COLUMN(C68:U68),2)=1, IF(ISNUMBER(C68:U68), C68:U68)), 2)</f>
        <v>0.14799999999999999</v>
      </c>
      <c r="AA68" s="6">
        <f t="array" ref="AA68">SMALL(IF(MOD(COLUMN(D68:V68),2)=0, IF(ISNUMBER(D68:V68), D68:V68)), 2)</f>
        <v>0.224</v>
      </c>
    </row>
    <row r="69" spans="1:27" ht="13.8" customHeight="1" x14ac:dyDescent="0.3">
      <c r="A69" s="77" t="s">
        <v>32</v>
      </c>
      <c r="B69" s="18">
        <v>24</v>
      </c>
      <c r="C69" s="6">
        <v>1.881</v>
      </c>
      <c r="D69" s="6">
        <v>0.84599999999999997</v>
      </c>
      <c r="E69" s="44">
        <v>2.0339999999999998</v>
      </c>
      <c r="F69" s="44">
        <v>0.86499999999999999</v>
      </c>
      <c r="G69" s="44">
        <v>1.7070000000000001</v>
      </c>
      <c r="H69" s="44">
        <v>0.79200000000000004</v>
      </c>
      <c r="I69" s="6">
        <v>1.53</v>
      </c>
      <c r="J69" s="6">
        <v>0.79600000000000004</v>
      </c>
      <c r="K69" s="6">
        <v>2.3420000000000001</v>
      </c>
      <c r="L69" s="6">
        <v>0.98199999999999998</v>
      </c>
      <c r="M69" s="6">
        <v>4.3949999999999996</v>
      </c>
      <c r="N69" s="6">
        <v>1.429</v>
      </c>
      <c r="O69" s="6">
        <v>2.5339999999999998</v>
      </c>
      <c r="P69" s="6">
        <v>1.016</v>
      </c>
      <c r="Q69" s="6">
        <v>2.3330000000000002</v>
      </c>
      <c r="R69" s="6">
        <v>0.91800000000000004</v>
      </c>
      <c r="S69" s="44">
        <v>3.4209999999999998</v>
      </c>
      <c r="T69" s="44">
        <v>1.2889999999999999</v>
      </c>
      <c r="U69" s="44">
        <v>4.1269999999999998</v>
      </c>
      <c r="V69" s="44">
        <v>1.4450000000000001</v>
      </c>
      <c r="W69" s="1"/>
      <c r="X69" s="6">
        <f t="array" ref="X69">SMALL(IF(MOD(COLUMN(C69:U69),2)=1, IF(ISNUMBER(C69:U69), C69:U69)), 1)</f>
        <v>1.53</v>
      </c>
      <c r="Y69" s="6">
        <f t="array" ref="Y69">SMALL(IF(MOD(COLUMN(D69:V69),2)=0, IF(ISNUMBER(D69:V69), D69:V69)), 1)</f>
        <v>0.79200000000000004</v>
      </c>
      <c r="Z69" s="6">
        <f t="array" ref="Z69">SMALL(IF(MOD(COLUMN(C69:U69),2)=1, IF(ISNUMBER(C69:U69), C69:U69)), 2)</f>
        <v>1.7070000000000001</v>
      </c>
      <c r="AA69" s="6">
        <f t="array" ref="AA69">SMALL(IF(MOD(COLUMN(D69:V69),2)=0, IF(ISNUMBER(D69:V69), D69:V69)), 2)</f>
        <v>0.79600000000000004</v>
      </c>
    </row>
    <row r="70" spans="1:27" ht="13.8" customHeight="1" x14ac:dyDescent="0.3">
      <c r="A70" s="78"/>
      <c r="B70" s="18">
        <v>36</v>
      </c>
      <c r="C70" s="6">
        <v>1.9179999999999999</v>
      </c>
      <c r="D70" s="6">
        <v>0.876</v>
      </c>
      <c r="E70" s="44">
        <v>1.806</v>
      </c>
      <c r="F70" s="44">
        <v>0.80700000000000005</v>
      </c>
      <c r="G70" s="44">
        <v>1.3180000000000001</v>
      </c>
      <c r="H70" s="44">
        <v>0.73399999999999999</v>
      </c>
      <c r="I70" s="6">
        <v>1.498</v>
      </c>
      <c r="J70" s="6">
        <v>0.76900000000000002</v>
      </c>
      <c r="K70" s="6">
        <v>2.274</v>
      </c>
      <c r="L70" s="6">
        <v>0.96799999999999997</v>
      </c>
      <c r="M70" s="6">
        <v>4.0960000000000001</v>
      </c>
      <c r="N70" s="6">
        <v>1.3240000000000001</v>
      </c>
      <c r="O70" s="6">
        <v>2.4910000000000001</v>
      </c>
      <c r="P70" s="6">
        <v>0.97799999999999998</v>
      </c>
      <c r="Q70" s="6">
        <v>1.5409999999999999</v>
      </c>
      <c r="R70" s="6">
        <v>0.77700000000000002</v>
      </c>
      <c r="S70" s="44">
        <v>2.859</v>
      </c>
      <c r="T70" s="44">
        <v>1.129</v>
      </c>
      <c r="U70" s="44">
        <v>3.323</v>
      </c>
      <c r="V70" s="44">
        <v>1.222</v>
      </c>
      <c r="W70" s="1"/>
      <c r="X70" s="6">
        <f t="array" ref="X70">SMALL(IF(MOD(COLUMN(C70:U70),2)=1, IF(ISNUMBER(C70:U70), C70:U70)), 1)</f>
        <v>1.3180000000000001</v>
      </c>
      <c r="Y70" s="6">
        <f t="array" ref="Y70">SMALL(IF(MOD(COLUMN(D70:V70),2)=0, IF(ISNUMBER(D70:V70), D70:V70)), 1)</f>
        <v>0.73399999999999999</v>
      </c>
      <c r="Z70" s="6">
        <f t="array" ref="Z70">SMALL(IF(MOD(COLUMN(C70:U70),2)=1, IF(ISNUMBER(C70:U70), C70:U70)), 2)</f>
        <v>1.498</v>
      </c>
      <c r="AA70" s="6">
        <f t="array" ref="AA70">SMALL(IF(MOD(COLUMN(D70:V70),2)=0, IF(ISNUMBER(D70:V70), D70:V70)), 2)</f>
        <v>0.76900000000000002</v>
      </c>
    </row>
    <row r="71" spans="1:27" ht="13.8" customHeight="1" x14ac:dyDescent="0.3">
      <c r="A71" s="78"/>
      <c r="B71" s="18">
        <v>48</v>
      </c>
      <c r="C71" s="6">
        <v>1.9079999999999999</v>
      </c>
      <c r="D71" s="6">
        <v>0.873</v>
      </c>
      <c r="E71" s="44">
        <v>1.891</v>
      </c>
      <c r="F71" s="44">
        <v>0.83099999999999996</v>
      </c>
      <c r="G71" s="44">
        <v>1.4319999999999999</v>
      </c>
      <c r="H71" s="44">
        <v>0.77700000000000002</v>
      </c>
      <c r="I71" s="6">
        <v>1.456</v>
      </c>
      <c r="J71" s="6">
        <v>0.78300000000000003</v>
      </c>
      <c r="K71" s="6">
        <v>2.125</v>
      </c>
      <c r="L71" s="6">
        <v>0.93500000000000005</v>
      </c>
      <c r="M71" s="6">
        <v>4.0439999999999996</v>
      </c>
      <c r="N71" s="6">
        <v>1.3080000000000001</v>
      </c>
      <c r="O71" s="6">
        <v>2.331</v>
      </c>
      <c r="P71" s="6">
        <v>0.95799999999999996</v>
      </c>
      <c r="Q71" s="6">
        <v>1.502</v>
      </c>
      <c r="R71" s="6">
        <v>0.78700000000000003</v>
      </c>
      <c r="S71" s="44">
        <v>2.633</v>
      </c>
      <c r="T71" s="44">
        <v>1.089</v>
      </c>
      <c r="U71" s="44">
        <v>3.258</v>
      </c>
      <c r="V71" s="44">
        <v>1.224</v>
      </c>
      <c r="W71" s="1"/>
      <c r="X71" s="6">
        <f t="array" ref="X71">SMALL(IF(MOD(COLUMN(C71:U71),2)=1, IF(ISNUMBER(C71:U71), C71:U71)), 1)</f>
        <v>1.4319999999999999</v>
      </c>
      <c r="Y71" s="6">
        <f t="array" ref="Y71">SMALL(IF(MOD(COLUMN(D71:V71),2)=0, IF(ISNUMBER(D71:V71), D71:V71)), 1)</f>
        <v>0.77700000000000002</v>
      </c>
      <c r="Z71" s="6">
        <f t="array" ref="Z71">SMALL(IF(MOD(COLUMN(C71:U71),2)=1, IF(ISNUMBER(C71:U71), C71:U71)), 2)</f>
        <v>1.456</v>
      </c>
      <c r="AA71" s="6">
        <f t="array" ref="AA71">SMALL(IF(MOD(COLUMN(D71:V71),2)=0, IF(ISNUMBER(D71:V71), D71:V71)), 2)</f>
        <v>0.78300000000000003</v>
      </c>
    </row>
    <row r="72" spans="1:27" ht="13.8" customHeight="1" x14ac:dyDescent="0.3">
      <c r="A72" s="78"/>
      <c r="B72" s="18">
        <v>60</v>
      </c>
      <c r="C72" s="6">
        <v>1.776</v>
      </c>
      <c r="D72" s="6">
        <v>0.84699999999999998</v>
      </c>
      <c r="E72" s="44">
        <v>2.1309999999999998</v>
      </c>
      <c r="F72" s="44">
        <v>0.90200000000000002</v>
      </c>
      <c r="G72" s="44">
        <v>1.93</v>
      </c>
      <c r="H72" s="44">
        <v>0.91800000000000004</v>
      </c>
      <c r="I72" s="6">
        <v>1.843</v>
      </c>
      <c r="J72" s="6">
        <v>0.88700000000000001</v>
      </c>
      <c r="K72" s="6">
        <v>2.3290000000000002</v>
      </c>
      <c r="L72" s="6">
        <v>0.999</v>
      </c>
      <c r="M72" s="6">
        <v>4.2960000000000003</v>
      </c>
      <c r="N72" s="6">
        <v>1.357</v>
      </c>
      <c r="O72" s="6">
        <v>2.492</v>
      </c>
      <c r="P72" s="6">
        <v>1.004</v>
      </c>
      <c r="Q72" s="6">
        <v>1.788</v>
      </c>
      <c r="R72" s="6">
        <v>0.875</v>
      </c>
      <c r="S72" s="44">
        <v>2.9369999999999998</v>
      </c>
      <c r="T72" s="44">
        <v>1.1739999999999999</v>
      </c>
      <c r="U72" s="44">
        <v>3.476</v>
      </c>
      <c r="V72" s="44">
        <v>1.2809999999999999</v>
      </c>
      <c r="W72" s="1"/>
      <c r="X72" s="6">
        <f t="array" ref="X72">SMALL(IF(MOD(COLUMN(C72:U72),2)=1, IF(ISNUMBER(C72:U72), C72:U72)), 1)</f>
        <v>1.776</v>
      </c>
      <c r="Y72" s="6">
        <f t="array" ref="Y72">SMALL(IF(MOD(COLUMN(D72:V72),2)=0, IF(ISNUMBER(D72:V72), D72:V72)), 1)</f>
        <v>0.84699999999999998</v>
      </c>
      <c r="Z72" s="6">
        <f t="array" ref="Z72">SMALL(IF(MOD(COLUMN(C72:U72),2)=1, IF(ISNUMBER(C72:U72), C72:U72)), 2)</f>
        <v>1.788</v>
      </c>
      <c r="AA72" s="6">
        <f t="array" ref="AA72">SMALL(IF(MOD(COLUMN(D72:V72),2)=0, IF(ISNUMBER(D72:V72), D72:V72)), 2)</f>
        <v>0.875</v>
      </c>
    </row>
    <row r="73" spans="1:27" ht="13.8" customHeight="1" x14ac:dyDescent="0.3">
      <c r="A73" s="79"/>
      <c r="B73" s="18" t="s">
        <v>19</v>
      </c>
      <c r="C73" s="6">
        <v>1.871</v>
      </c>
      <c r="D73" s="6">
        <v>0.86099999999999999</v>
      </c>
      <c r="E73" s="44">
        <v>1.966</v>
      </c>
      <c r="F73" s="44">
        <v>0.85099999999999998</v>
      </c>
      <c r="G73" s="44">
        <v>1.597</v>
      </c>
      <c r="H73" s="44">
        <v>0.80500000000000005</v>
      </c>
      <c r="I73" s="6">
        <v>1.5820000000000001</v>
      </c>
      <c r="J73" s="6">
        <v>0.80900000000000005</v>
      </c>
      <c r="K73" s="6">
        <v>2.2679999999999998</v>
      </c>
      <c r="L73" s="6">
        <v>0.97099999999999997</v>
      </c>
      <c r="M73" s="6">
        <v>4.2080000000000002</v>
      </c>
      <c r="N73" s="6">
        <v>1.355</v>
      </c>
      <c r="O73" s="6">
        <v>2.4620000000000002</v>
      </c>
      <c r="P73" s="6">
        <v>0.98899999999999999</v>
      </c>
      <c r="Q73" s="6">
        <v>1.7909999999999999</v>
      </c>
      <c r="R73" s="6">
        <v>0.83899999999999997</v>
      </c>
      <c r="S73" s="44">
        <v>2.9620000000000002</v>
      </c>
      <c r="T73" s="44">
        <v>1.17</v>
      </c>
      <c r="U73" s="44">
        <v>3.5459999999999998</v>
      </c>
      <c r="V73" s="44">
        <v>1.2929999999999999</v>
      </c>
      <c r="W73" s="1"/>
      <c r="X73" s="6">
        <f t="array" ref="X73">SMALL(IF(MOD(COLUMN(C73:U73),2)=1, IF(ISNUMBER(C73:U73), C73:U73)), 1)</f>
        <v>1.5820000000000001</v>
      </c>
      <c r="Y73" s="6">
        <f t="array" ref="Y73">SMALL(IF(MOD(COLUMN(D73:V73),2)=0, IF(ISNUMBER(D73:V73), D73:V73)), 1)</f>
        <v>0.80500000000000005</v>
      </c>
      <c r="Z73" s="6">
        <f t="array" ref="Z73">SMALL(IF(MOD(COLUMN(C73:U73),2)=1, IF(ISNUMBER(C73:U73), C73:U73)), 2)</f>
        <v>1.597</v>
      </c>
      <c r="AA73" s="6">
        <f t="array" ref="AA73">SMALL(IF(MOD(COLUMN(D73:V73),2)=0, IF(ISNUMBER(D73:V73), D73:V73)), 2)</f>
        <v>0.80900000000000005</v>
      </c>
    </row>
    <row r="75" spans="1:27" ht="15" customHeight="1" x14ac:dyDescent="0.3">
      <c r="A75" s="57" t="s">
        <v>33</v>
      </c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4"/>
    </row>
    <row r="76" spans="1:27" ht="15" customHeight="1" x14ac:dyDescent="0.3">
      <c r="A76" s="59" t="s">
        <v>34</v>
      </c>
      <c r="B76" s="56"/>
      <c r="C76" s="54"/>
      <c r="D76" s="55" t="s">
        <v>35</v>
      </c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4"/>
    </row>
    <row r="77" spans="1:27" ht="36" customHeight="1" x14ac:dyDescent="0.25">
      <c r="A77" s="63" t="s">
        <v>36</v>
      </c>
      <c r="B77" s="54"/>
      <c r="C77" s="46" t="s">
        <v>37</v>
      </c>
      <c r="D77" s="46" t="s">
        <v>38</v>
      </c>
      <c r="E77" s="46" t="s">
        <v>39</v>
      </c>
      <c r="F77" s="46" t="s">
        <v>40</v>
      </c>
      <c r="G77" s="46" t="s">
        <v>41</v>
      </c>
      <c r="H77" s="46" t="s">
        <v>42</v>
      </c>
      <c r="I77" s="46" t="s">
        <v>43</v>
      </c>
      <c r="J77" s="46" t="s">
        <v>44</v>
      </c>
      <c r="K77" s="46" t="s">
        <v>45</v>
      </c>
      <c r="L77" s="46" t="s">
        <v>46</v>
      </c>
      <c r="M77" s="46" t="s">
        <v>47</v>
      </c>
      <c r="N77" s="46" t="s">
        <v>48</v>
      </c>
      <c r="O77" s="46" t="s">
        <v>49</v>
      </c>
    </row>
    <row r="78" spans="1:27" ht="15" customHeight="1" x14ac:dyDescent="0.3">
      <c r="A78" s="77" t="s">
        <v>18</v>
      </c>
      <c r="B78" s="18">
        <v>96</v>
      </c>
      <c r="C78" s="49">
        <v>7</v>
      </c>
      <c r="D78" s="39"/>
      <c r="E78" s="40"/>
      <c r="F78" s="39"/>
      <c r="G78" s="47"/>
      <c r="H78" s="47"/>
      <c r="I78" s="47"/>
      <c r="J78" s="47"/>
      <c r="K78" s="39"/>
      <c r="L78" s="47"/>
      <c r="M78" s="47"/>
      <c r="N78" s="47"/>
      <c r="O78" s="48"/>
    </row>
    <row r="79" spans="1:27" ht="15" customHeight="1" x14ac:dyDescent="0.3">
      <c r="A79" s="82"/>
      <c r="B79" s="18">
        <v>192</v>
      </c>
      <c r="C79" s="82"/>
      <c r="D79" s="39"/>
      <c r="E79" s="40"/>
      <c r="F79" s="39"/>
      <c r="G79" s="47"/>
      <c r="H79" s="47"/>
      <c r="I79" s="47"/>
      <c r="J79" s="47"/>
      <c r="K79" s="39"/>
      <c r="L79" s="47"/>
      <c r="M79" s="47"/>
      <c r="N79" s="47"/>
      <c r="O79" s="48"/>
    </row>
    <row r="80" spans="1:27" ht="15" customHeight="1" x14ac:dyDescent="0.3">
      <c r="A80" s="82"/>
      <c r="B80" s="18">
        <v>336</v>
      </c>
      <c r="C80" s="82"/>
      <c r="D80" s="39"/>
      <c r="E80" s="40"/>
      <c r="F80" s="39"/>
      <c r="G80" s="47"/>
      <c r="H80" s="47"/>
      <c r="I80" s="47"/>
      <c r="J80" s="47"/>
      <c r="K80" s="39"/>
      <c r="L80" s="47"/>
      <c r="M80" s="47"/>
      <c r="N80" s="47"/>
      <c r="O80" s="48"/>
    </row>
    <row r="81" spans="1:15" ht="15" customHeight="1" x14ac:dyDescent="0.3">
      <c r="A81" s="83"/>
      <c r="B81" s="18">
        <v>720</v>
      </c>
      <c r="C81" s="83"/>
      <c r="D81" s="39"/>
      <c r="E81" s="40"/>
      <c r="F81" s="39"/>
      <c r="G81" s="47"/>
      <c r="H81" s="47"/>
      <c r="I81" s="47"/>
      <c r="J81" s="47"/>
      <c r="K81" s="39"/>
      <c r="L81" s="47"/>
      <c r="M81" s="47"/>
      <c r="N81" s="47"/>
      <c r="O81" s="48"/>
    </row>
    <row r="82" spans="1:15" ht="15" customHeight="1" x14ac:dyDescent="0.3">
      <c r="A82" s="77" t="s">
        <v>20</v>
      </c>
      <c r="B82" s="18">
        <v>96</v>
      </c>
      <c r="C82" s="49">
        <v>7</v>
      </c>
      <c r="D82" s="39"/>
      <c r="E82" s="40"/>
      <c r="F82" s="39"/>
      <c r="G82" s="47"/>
      <c r="H82" s="47"/>
      <c r="I82" s="47"/>
      <c r="J82" s="47"/>
      <c r="K82" s="39"/>
      <c r="L82" s="47"/>
      <c r="M82" s="47"/>
      <c r="N82" s="47"/>
      <c r="O82" s="48"/>
    </row>
    <row r="83" spans="1:15" ht="15" customHeight="1" x14ac:dyDescent="0.3">
      <c r="A83" s="82"/>
      <c r="B83" s="18">
        <v>192</v>
      </c>
      <c r="C83" s="82"/>
      <c r="D83" s="39"/>
      <c r="E83" s="40"/>
      <c r="F83" s="39"/>
      <c r="G83" s="47"/>
      <c r="H83" s="47"/>
      <c r="I83" s="47"/>
      <c r="J83" s="47"/>
      <c r="K83" s="39"/>
      <c r="L83" s="47"/>
      <c r="M83" s="47"/>
      <c r="N83" s="47"/>
      <c r="O83" s="48"/>
    </row>
    <row r="84" spans="1:15" ht="15" customHeight="1" x14ac:dyDescent="0.3">
      <c r="A84" s="82"/>
      <c r="B84" s="18">
        <v>336</v>
      </c>
      <c r="C84" s="82"/>
      <c r="D84" s="39"/>
      <c r="E84" s="40"/>
      <c r="F84" s="39"/>
      <c r="G84" s="47"/>
      <c r="H84" s="47"/>
      <c r="I84" s="47"/>
      <c r="J84" s="47"/>
      <c r="K84" s="39"/>
      <c r="L84" s="47"/>
      <c r="M84" s="47"/>
      <c r="N84" s="47"/>
      <c r="O84" s="48"/>
    </row>
    <row r="85" spans="1:15" ht="15" customHeight="1" x14ac:dyDescent="0.3">
      <c r="A85" s="83"/>
      <c r="B85" s="18">
        <v>720</v>
      </c>
      <c r="C85" s="83"/>
      <c r="D85" s="39"/>
      <c r="E85" s="40"/>
      <c r="F85" s="39"/>
      <c r="G85" s="47"/>
      <c r="H85" s="47"/>
      <c r="I85" s="47"/>
      <c r="J85" s="47"/>
      <c r="K85" s="39"/>
      <c r="L85" s="47"/>
      <c r="M85" s="47"/>
      <c r="N85" s="47"/>
      <c r="O85" s="48"/>
    </row>
    <row r="86" spans="1:15" ht="15" customHeight="1" x14ac:dyDescent="0.3">
      <c r="A86" s="77" t="s">
        <v>21</v>
      </c>
      <c r="B86" s="18">
        <v>96</v>
      </c>
      <c r="C86" s="49">
        <v>7</v>
      </c>
      <c r="D86" s="39"/>
      <c r="E86" s="40"/>
      <c r="F86" s="39"/>
      <c r="G86" s="47"/>
      <c r="H86" s="47"/>
      <c r="I86" s="47"/>
      <c r="J86" s="47"/>
      <c r="K86" s="39"/>
      <c r="L86" s="47"/>
      <c r="M86" s="47"/>
      <c r="N86" s="47"/>
      <c r="O86" s="48"/>
    </row>
    <row r="87" spans="1:15" ht="15" customHeight="1" x14ac:dyDescent="0.3">
      <c r="A87" s="82"/>
      <c r="B87" s="18">
        <v>192</v>
      </c>
      <c r="C87" s="82"/>
      <c r="D87" s="39"/>
      <c r="E87" s="40"/>
      <c r="F87" s="39"/>
      <c r="G87" s="47"/>
      <c r="H87" s="47"/>
      <c r="I87" s="47"/>
      <c r="J87" s="47"/>
      <c r="K87" s="39"/>
      <c r="L87" s="47"/>
      <c r="M87" s="47"/>
      <c r="N87" s="47"/>
      <c r="O87" s="48"/>
    </row>
    <row r="88" spans="1:15" ht="15" customHeight="1" x14ac:dyDescent="0.3">
      <c r="A88" s="82"/>
      <c r="B88" s="18">
        <v>336</v>
      </c>
      <c r="C88" s="82"/>
      <c r="D88" s="39"/>
      <c r="E88" s="40"/>
      <c r="F88" s="39"/>
      <c r="G88" s="47"/>
      <c r="H88" s="47"/>
      <c r="I88" s="47"/>
      <c r="J88" s="47"/>
      <c r="K88" s="39"/>
      <c r="L88" s="47"/>
      <c r="M88" s="47"/>
      <c r="N88" s="47"/>
      <c r="O88" s="48"/>
    </row>
    <row r="89" spans="1:15" ht="15" customHeight="1" x14ac:dyDescent="0.3">
      <c r="A89" s="83"/>
      <c r="B89" s="18">
        <v>720</v>
      </c>
      <c r="C89" s="83"/>
      <c r="D89" s="39"/>
      <c r="E89" s="40"/>
      <c r="F89" s="39"/>
      <c r="G89" s="47"/>
      <c r="H89" s="47"/>
      <c r="I89" s="47"/>
      <c r="J89" s="47"/>
      <c r="K89" s="39"/>
      <c r="L89" s="47"/>
      <c r="M89" s="47"/>
      <c r="N89" s="47"/>
      <c r="O89" s="48"/>
    </row>
    <row r="90" spans="1:15" ht="15" customHeight="1" x14ac:dyDescent="0.3">
      <c r="A90" s="77" t="s">
        <v>22</v>
      </c>
      <c r="B90" s="18">
        <v>96</v>
      </c>
      <c r="C90" s="49">
        <v>7</v>
      </c>
      <c r="D90" s="39"/>
      <c r="E90" s="40"/>
      <c r="F90" s="39"/>
      <c r="G90" s="47"/>
      <c r="H90" s="47"/>
      <c r="I90" s="47"/>
      <c r="J90" s="47"/>
      <c r="K90" s="39"/>
      <c r="L90" s="47"/>
      <c r="M90" s="47"/>
      <c r="N90" s="47"/>
      <c r="O90" s="48"/>
    </row>
    <row r="91" spans="1:15" ht="15" customHeight="1" x14ac:dyDescent="0.3">
      <c r="A91" s="82"/>
      <c r="B91" s="18">
        <v>192</v>
      </c>
      <c r="C91" s="82"/>
      <c r="D91" s="39"/>
      <c r="E91" s="40"/>
      <c r="F91" s="39"/>
      <c r="G91" s="47"/>
      <c r="H91" s="47"/>
      <c r="I91" s="47"/>
      <c r="J91" s="47"/>
      <c r="K91" s="39"/>
      <c r="L91" s="47"/>
      <c r="M91" s="47"/>
      <c r="N91" s="47"/>
      <c r="O91" s="48"/>
    </row>
    <row r="92" spans="1:15" ht="15" customHeight="1" x14ac:dyDescent="0.3">
      <c r="A92" s="82"/>
      <c r="B92" s="18">
        <v>336</v>
      </c>
      <c r="C92" s="82"/>
      <c r="D92" s="39"/>
      <c r="E92" s="40"/>
      <c r="F92" s="39"/>
      <c r="G92" s="47"/>
      <c r="H92" s="47"/>
      <c r="I92" s="47"/>
      <c r="J92" s="47"/>
      <c r="K92" s="39"/>
      <c r="L92" s="47"/>
      <c r="M92" s="47"/>
      <c r="N92" s="47"/>
      <c r="O92" s="48"/>
    </row>
    <row r="93" spans="1:15" ht="15" customHeight="1" x14ac:dyDescent="0.3">
      <c r="A93" s="83"/>
      <c r="B93" s="18">
        <v>720</v>
      </c>
      <c r="C93" s="83"/>
      <c r="D93" s="39"/>
      <c r="E93" s="40"/>
      <c r="F93" s="39"/>
      <c r="G93" s="47"/>
      <c r="H93" s="47"/>
      <c r="I93" s="47"/>
      <c r="J93" s="47"/>
      <c r="K93" s="39"/>
      <c r="L93" s="47"/>
      <c r="M93" s="47"/>
      <c r="N93" s="47"/>
      <c r="O93" s="48"/>
    </row>
    <row r="94" spans="1:15" ht="15" customHeight="1" x14ac:dyDescent="0.3">
      <c r="A94" s="77" t="s">
        <v>23</v>
      </c>
      <c r="B94" s="18">
        <v>96</v>
      </c>
      <c r="C94" s="49">
        <v>321</v>
      </c>
      <c r="D94" s="39" t="s">
        <v>50</v>
      </c>
      <c r="E94" s="40">
        <v>2</v>
      </c>
      <c r="F94" s="39" t="s">
        <v>51</v>
      </c>
      <c r="G94" s="47">
        <v>256</v>
      </c>
      <c r="H94" s="47">
        <v>1</v>
      </c>
      <c r="I94" s="47">
        <v>32</v>
      </c>
      <c r="J94" s="47" t="s">
        <v>52</v>
      </c>
      <c r="K94" s="39">
        <v>128</v>
      </c>
      <c r="L94" s="47">
        <v>25</v>
      </c>
      <c r="M94" s="47">
        <v>0</v>
      </c>
      <c r="N94" s="47">
        <v>0.3</v>
      </c>
      <c r="O94" s="48">
        <v>5.0632413321844859E-4</v>
      </c>
    </row>
    <row r="95" spans="1:15" ht="15" customHeight="1" x14ac:dyDescent="0.3">
      <c r="A95" s="82"/>
      <c r="B95" s="18">
        <v>192</v>
      </c>
      <c r="C95" s="82"/>
      <c r="D95" s="39" t="s">
        <v>50</v>
      </c>
      <c r="E95" s="40">
        <v>2</v>
      </c>
      <c r="F95" s="39" t="s">
        <v>51</v>
      </c>
      <c r="G95" s="47">
        <v>256</v>
      </c>
      <c r="H95" s="47">
        <v>1</v>
      </c>
      <c r="I95" s="47">
        <v>32</v>
      </c>
      <c r="J95" s="47" t="s">
        <v>52</v>
      </c>
      <c r="K95" s="39">
        <v>256</v>
      </c>
      <c r="L95" s="47">
        <v>13</v>
      </c>
      <c r="M95" s="47">
        <v>0.1</v>
      </c>
      <c r="N95" s="47">
        <v>0.1</v>
      </c>
      <c r="O95" s="48">
        <v>3.3482055825035051E-4</v>
      </c>
    </row>
    <row r="96" spans="1:15" ht="15" customHeight="1" x14ac:dyDescent="0.3">
      <c r="A96" s="82"/>
      <c r="B96" s="18">
        <v>336</v>
      </c>
      <c r="C96" s="82"/>
      <c r="D96" s="39" t="s">
        <v>50</v>
      </c>
      <c r="E96" s="40">
        <v>2</v>
      </c>
      <c r="F96" s="39" t="s">
        <v>51</v>
      </c>
      <c r="G96" s="47">
        <v>256</v>
      </c>
      <c r="H96" s="47">
        <v>1</v>
      </c>
      <c r="I96" s="47">
        <v>32</v>
      </c>
      <c r="J96" s="47" t="s">
        <v>52</v>
      </c>
      <c r="K96" s="39">
        <v>128</v>
      </c>
      <c r="L96" s="47">
        <v>25</v>
      </c>
      <c r="M96" s="47">
        <v>0</v>
      </c>
      <c r="N96" s="47">
        <v>0.3</v>
      </c>
      <c r="O96" s="48">
        <v>6.8261420410503778E-4</v>
      </c>
    </row>
    <row r="97" spans="1:15" ht="15" customHeight="1" x14ac:dyDescent="0.3">
      <c r="A97" s="83"/>
      <c r="B97" s="18">
        <v>720</v>
      </c>
      <c r="C97" s="83"/>
      <c r="D97" s="39" t="s">
        <v>50</v>
      </c>
      <c r="E97" s="40">
        <v>2</v>
      </c>
      <c r="F97" s="39" t="s">
        <v>53</v>
      </c>
      <c r="G97" s="47">
        <v>256</v>
      </c>
      <c r="H97" s="47">
        <v>3</v>
      </c>
      <c r="I97" s="47">
        <v>32</v>
      </c>
      <c r="J97" s="47" t="s">
        <v>52</v>
      </c>
      <c r="K97" s="39">
        <v>128</v>
      </c>
      <c r="L97" s="47">
        <v>13</v>
      </c>
      <c r="M97" s="47">
        <v>0</v>
      </c>
      <c r="N97" s="47">
        <v>0.1</v>
      </c>
      <c r="O97" s="48">
        <v>2.8520883102630789E-4</v>
      </c>
    </row>
    <row r="98" spans="1:15" ht="15" customHeight="1" x14ac:dyDescent="0.3">
      <c r="A98" s="77" t="s">
        <v>24</v>
      </c>
      <c r="B98" s="18">
        <v>96</v>
      </c>
      <c r="C98" s="49">
        <v>8</v>
      </c>
      <c r="D98" s="39" t="s">
        <v>50</v>
      </c>
      <c r="E98" s="40">
        <v>1</v>
      </c>
      <c r="F98" s="39" t="s">
        <v>51</v>
      </c>
      <c r="G98" s="47">
        <v>128</v>
      </c>
      <c r="H98" s="47">
        <v>1</v>
      </c>
      <c r="I98" s="47">
        <v>32</v>
      </c>
      <c r="J98" s="47" t="s">
        <v>52</v>
      </c>
      <c r="K98" s="39">
        <v>128</v>
      </c>
      <c r="L98" s="47">
        <v>25</v>
      </c>
      <c r="M98" s="47">
        <v>0.1</v>
      </c>
      <c r="N98" s="47">
        <v>0.1</v>
      </c>
      <c r="O98" s="48">
        <v>1.8776411091853359E-4</v>
      </c>
    </row>
    <row r="99" spans="1:15" ht="15" customHeight="1" x14ac:dyDescent="0.3">
      <c r="A99" s="82"/>
      <c r="B99" s="18">
        <v>192</v>
      </c>
      <c r="C99" s="82"/>
      <c r="D99" s="39" t="s">
        <v>50</v>
      </c>
      <c r="E99" s="40">
        <v>2</v>
      </c>
      <c r="F99" s="39" t="s">
        <v>51</v>
      </c>
      <c r="G99" s="47">
        <v>256</v>
      </c>
      <c r="H99" s="47">
        <v>3</v>
      </c>
      <c r="I99" s="47">
        <v>16</v>
      </c>
      <c r="J99" s="47" t="s">
        <v>52</v>
      </c>
      <c r="K99" s="39">
        <v>128</v>
      </c>
      <c r="L99" s="47">
        <v>13</v>
      </c>
      <c r="M99" s="47">
        <v>0.3</v>
      </c>
      <c r="N99" s="47">
        <v>0.2</v>
      </c>
      <c r="O99" s="48">
        <v>1.281788896942429E-4</v>
      </c>
    </row>
    <row r="100" spans="1:15" ht="15" customHeight="1" x14ac:dyDescent="0.3">
      <c r="A100" s="82"/>
      <c r="B100" s="18">
        <v>336</v>
      </c>
      <c r="C100" s="82"/>
      <c r="D100" s="39" t="s">
        <v>50</v>
      </c>
      <c r="E100" s="40">
        <v>2</v>
      </c>
      <c r="F100" s="39" t="s">
        <v>51</v>
      </c>
      <c r="G100" s="47">
        <v>128</v>
      </c>
      <c r="H100" s="47">
        <v>3</v>
      </c>
      <c r="I100" s="47">
        <v>32</v>
      </c>
      <c r="J100" s="47" t="s">
        <v>52</v>
      </c>
      <c r="K100" s="39">
        <v>256</v>
      </c>
      <c r="L100" s="47">
        <v>25</v>
      </c>
      <c r="M100" s="47">
        <v>0.1</v>
      </c>
      <c r="N100" s="47">
        <v>0.2</v>
      </c>
      <c r="O100" s="48">
        <v>1.5691082874709459E-4</v>
      </c>
    </row>
    <row r="101" spans="1:15" ht="15" customHeight="1" x14ac:dyDescent="0.3">
      <c r="A101" s="83"/>
      <c r="B101" s="18">
        <v>720</v>
      </c>
      <c r="C101" s="83"/>
      <c r="D101" s="39" t="s">
        <v>50</v>
      </c>
      <c r="E101" s="40">
        <v>2</v>
      </c>
      <c r="F101" s="39" t="s">
        <v>51</v>
      </c>
      <c r="G101" s="47">
        <v>256</v>
      </c>
      <c r="H101" s="47">
        <v>3</v>
      </c>
      <c r="I101" s="47">
        <v>32</v>
      </c>
      <c r="J101" s="47" t="s">
        <v>52</v>
      </c>
      <c r="K101" s="39">
        <v>256</v>
      </c>
      <c r="L101" s="47">
        <v>25</v>
      </c>
      <c r="M101" s="47">
        <v>0.3</v>
      </c>
      <c r="N101" s="47">
        <v>0.1</v>
      </c>
      <c r="O101" s="48">
        <v>1.022142545955382E-3</v>
      </c>
    </row>
    <row r="102" spans="1:15" ht="15" customHeight="1" x14ac:dyDescent="0.3">
      <c r="A102" s="77" t="s">
        <v>25</v>
      </c>
      <c r="B102" s="18">
        <v>96</v>
      </c>
      <c r="C102" s="49">
        <v>21</v>
      </c>
      <c r="D102" s="39"/>
      <c r="E102" s="40"/>
      <c r="F102" s="39"/>
      <c r="G102" s="47"/>
      <c r="H102" s="47"/>
      <c r="I102" s="47"/>
      <c r="J102" s="47"/>
      <c r="K102" s="39"/>
      <c r="L102" s="47"/>
      <c r="M102" s="47"/>
      <c r="N102" s="47"/>
      <c r="O102" s="48"/>
    </row>
    <row r="103" spans="1:15" ht="15" customHeight="1" x14ac:dyDescent="0.3">
      <c r="A103" s="82"/>
      <c r="B103" s="18">
        <v>192</v>
      </c>
      <c r="C103" s="82"/>
      <c r="D103" s="39"/>
      <c r="E103" s="40"/>
      <c r="F103" s="39"/>
      <c r="G103" s="47"/>
      <c r="H103" s="47"/>
      <c r="I103" s="47"/>
      <c r="J103" s="47"/>
      <c r="K103" s="39"/>
      <c r="L103" s="47"/>
      <c r="M103" s="47"/>
      <c r="N103" s="47"/>
      <c r="O103" s="48"/>
    </row>
    <row r="104" spans="1:15" ht="15" customHeight="1" x14ac:dyDescent="0.3">
      <c r="A104" s="82"/>
      <c r="B104" s="18">
        <v>336</v>
      </c>
      <c r="C104" s="82"/>
      <c r="D104" s="39"/>
      <c r="E104" s="40"/>
      <c r="F104" s="39"/>
      <c r="G104" s="47"/>
      <c r="H104" s="47"/>
      <c r="I104" s="47"/>
      <c r="J104" s="47"/>
      <c r="K104" s="39"/>
      <c r="L104" s="47"/>
      <c r="M104" s="47"/>
      <c r="N104" s="47"/>
      <c r="O104" s="48"/>
    </row>
    <row r="105" spans="1:15" ht="15" customHeight="1" x14ac:dyDescent="0.3">
      <c r="A105" s="83"/>
      <c r="B105" s="18">
        <v>720</v>
      </c>
      <c r="C105" s="83"/>
      <c r="D105" s="39"/>
      <c r="E105" s="40"/>
      <c r="F105" s="39"/>
      <c r="G105" s="47"/>
      <c r="H105" s="47"/>
      <c r="I105" s="47"/>
      <c r="J105" s="47"/>
      <c r="K105" s="39"/>
      <c r="L105" s="47"/>
      <c r="M105" s="47"/>
      <c r="N105" s="47"/>
      <c r="O105" s="48"/>
    </row>
    <row r="106" spans="1:15" ht="15" customHeight="1" x14ac:dyDescent="0.3">
      <c r="A106" s="77" t="s">
        <v>26</v>
      </c>
      <c r="B106" s="18">
        <v>96</v>
      </c>
      <c r="C106" s="49">
        <v>137</v>
      </c>
      <c r="D106" s="39"/>
      <c r="E106" s="40"/>
      <c r="F106" s="39"/>
      <c r="G106" s="47"/>
      <c r="H106" s="47"/>
      <c r="I106" s="47"/>
      <c r="J106" s="47"/>
      <c r="K106" s="39"/>
      <c r="L106" s="47"/>
      <c r="M106" s="47"/>
      <c r="N106" s="47"/>
      <c r="O106" s="48"/>
    </row>
    <row r="107" spans="1:15" ht="15" customHeight="1" x14ac:dyDescent="0.3">
      <c r="A107" s="82"/>
      <c r="B107" s="18">
        <v>192</v>
      </c>
      <c r="C107" s="82"/>
      <c r="D107" s="39"/>
      <c r="E107" s="40"/>
      <c r="F107" s="39"/>
      <c r="G107" s="47"/>
      <c r="H107" s="47"/>
      <c r="I107" s="47"/>
      <c r="J107" s="47"/>
      <c r="K107" s="39"/>
      <c r="L107" s="47"/>
      <c r="M107" s="47"/>
      <c r="N107" s="47"/>
      <c r="O107" s="48"/>
    </row>
    <row r="108" spans="1:15" ht="15" customHeight="1" x14ac:dyDescent="0.3">
      <c r="A108" s="82"/>
      <c r="B108" s="18">
        <v>336</v>
      </c>
      <c r="C108" s="82"/>
      <c r="D108" s="39"/>
      <c r="E108" s="40"/>
      <c r="F108" s="39"/>
      <c r="G108" s="47"/>
      <c r="H108" s="47"/>
      <c r="I108" s="47"/>
      <c r="J108" s="47"/>
      <c r="K108" s="39"/>
      <c r="L108" s="47"/>
      <c r="M108" s="47"/>
      <c r="N108" s="47"/>
      <c r="O108" s="48"/>
    </row>
    <row r="109" spans="1:15" ht="15" customHeight="1" x14ac:dyDescent="0.3">
      <c r="A109" s="83"/>
      <c r="B109" s="18">
        <v>720</v>
      </c>
      <c r="C109" s="83"/>
      <c r="D109" s="39"/>
      <c r="E109" s="40"/>
      <c r="F109" s="39"/>
      <c r="G109" s="47"/>
      <c r="H109" s="47"/>
      <c r="I109" s="47"/>
      <c r="J109" s="47"/>
      <c r="K109" s="39"/>
      <c r="L109" s="47"/>
      <c r="M109" s="47"/>
      <c r="N109" s="47"/>
      <c r="O109" s="48"/>
    </row>
    <row r="110" spans="1:15" ht="15" customHeight="1" x14ac:dyDescent="0.3">
      <c r="A110" s="77" t="s">
        <v>27</v>
      </c>
      <c r="B110" s="18">
        <v>96</v>
      </c>
      <c r="C110" s="49">
        <v>862</v>
      </c>
      <c r="D110" s="39"/>
      <c r="E110" s="40"/>
      <c r="F110" s="39"/>
      <c r="G110" s="47"/>
      <c r="H110" s="47"/>
      <c r="I110" s="47"/>
      <c r="J110" s="47"/>
      <c r="K110" s="39"/>
      <c r="L110" s="47"/>
      <c r="M110" s="47"/>
      <c r="N110" s="47"/>
      <c r="O110" s="48"/>
    </row>
    <row r="111" spans="1:15" ht="15" customHeight="1" x14ac:dyDescent="0.3">
      <c r="A111" s="82"/>
      <c r="B111" s="18">
        <v>192</v>
      </c>
      <c r="C111" s="82"/>
      <c r="D111" s="39"/>
      <c r="E111" s="40"/>
      <c r="F111" s="39"/>
      <c r="G111" s="47"/>
      <c r="H111" s="47"/>
      <c r="I111" s="47"/>
      <c r="J111" s="47"/>
      <c r="K111" s="39"/>
      <c r="L111" s="47"/>
      <c r="M111" s="47"/>
      <c r="N111" s="47"/>
      <c r="O111" s="48"/>
    </row>
    <row r="112" spans="1:15" ht="15" customHeight="1" x14ac:dyDescent="0.3">
      <c r="A112" s="82"/>
      <c r="B112" s="18">
        <v>336</v>
      </c>
      <c r="C112" s="82"/>
      <c r="D112" s="39"/>
      <c r="E112" s="40"/>
      <c r="F112" s="39"/>
      <c r="G112" s="47"/>
      <c r="H112" s="47"/>
      <c r="I112" s="47"/>
      <c r="J112" s="47"/>
      <c r="K112" s="39"/>
      <c r="L112" s="47"/>
      <c r="M112" s="47"/>
      <c r="N112" s="47"/>
      <c r="O112" s="48"/>
    </row>
    <row r="113" spans="1:15" ht="15" customHeight="1" x14ac:dyDescent="0.3">
      <c r="A113" s="83"/>
      <c r="B113" s="18">
        <v>720</v>
      </c>
      <c r="C113" s="83"/>
      <c r="D113" s="39"/>
      <c r="E113" s="40"/>
      <c r="F113" s="39"/>
      <c r="G113" s="47"/>
      <c r="H113" s="47"/>
      <c r="I113" s="47"/>
      <c r="J113" s="47"/>
      <c r="K113" s="39"/>
      <c r="L113" s="47"/>
      <c r="M113" s="47"/>
      <c r="N113" s="47"/>
      <c r="O113" s="48"/>
    </row>
    <row r="114" spans="1:15" ht="15" customHeight="1" x14ac:dyDescent="0.3">
      <c r="A114" s="77" t="s">
        <v>28</v>
      </c>
      <c r="B114" s="18">
        <v>12</v>
      </c>
      <c r="C114" s="49">
        <v>358</v>
      </c>
      <c r="D114" s="39"/>
      <c r="E114" s="40"/>
      <c r="F114" s="39"/>
      <c r="G114" s="47"/>
      <c r="H114" s="47"/>
      <c r="I114" s="47"/>
      <c r="J114" s="47"/>
      <c r="K114" s="39"/>
      <c r="L114" s="47"/>
      <c r="M114" s="47"/>
      <c r="N114" s="47"/>
      <c r="O114" s="48"/>
    </row>
    <row r="115" spans="1:15" ht="15" customHeight="1" x14ac:dyDescent="0.3">
      <c r="A115" s="82"/>
      <c r="B115" s="18">
        <v>24</v>
      </c>
      <c r="C115" s="82"/>
      <c r="D115" s="39"/>
      <c r="E115" s="40"/>
      <c r="F115" s="39"/>
      <c r="G115" s="47"/>
      <c r="H115" s="47"/>
      <c r="I115" s="47"/>
      <c r="J115" s="47"/>
      <c r="K115" s="39"/>
      <c r="L115" s="47"/>
      <c r="M115" s="47"/>
      <c r="N115" s="47"/>
      <c r="O115" s="48"/>
    </row>
    <row r="116" spans="1:15" ht="15" customHeight="1" x14ac:dyDescent="0.3">
      <c r="A116" s="82"/>
      <c r="B116" s="18">
        <v>48</v>
      </c>
      <c r="C116" s="82"/>
      <c r="D116" s="39"/>
      <c r="E116" s="40"/>
      <c r="F116" s="39"/>
      <c r="G116" s="47"/>
      <c r="H116" s="47"/>
      <c r="I116" s="47"/>
      <c r="J116" s="47"/>
      <c r="K116" s="39"/>
      <c r="L116" s="47"/>
      <c r="M116" s="47"/>
      <c r="N116" s="47"/>
      <c r="O116" s="48"/>
    </row>
    <row r="117" spans="1:15" ht="15" customHeight="1" x14ac:dyDescent="0.3">
      <c r="A117" s="83"/>
      <c r="B117" s="18">
        <v>96</v>
      </c>
      <c r="C117" s="83"/>
      <c r="D117" s="39"/>
      <c r="E117" s="40"/>
      <c r="F117" s="39"/>
      <c r="G117" s="47"/>
      <c r="H117" s="47"/>
      <c r="I117" s="47"/>
      <c r="J117" s="47"/>
      <c r="K117" s="39"/>
      <c r="L117" s="47"/>
      <c r="M117" s="47"/>
      <c r="N117" s="47"/>
      <c r="O117" s="48"/>
    </row>
    <row r="118" spans="1:15" ht="15" customHeight="1" x14ac:dyDescent="0.3">
      <c r="A118" s="77" t="s">
        <v>29</v>
      </c>
      <c r="B118" s="18">
        <v>12</v>
      </c>
      <c r="C118" s="49">
        <v>307</v>
      </c>
      <c r="D118" s="39"/>
      <c r="E118" s="40"/>
      <c r="F118" s="39"/>
      <c r="G118" s="47"/>
      <c r="H118" s="47"/>
      <c r="I118" s="47"/>
      <c r="J118" s="47"/>
      <c r="K118" s="39"/>
      <c r="L118" s="47"/>
      <c r="M118" s="47"/>
      <c r="N118" s="47"/>
      <c r="O118" s="48"/>
    </row>
    <row r="119" spans="1:15" ht="15" customHeight="1" x14ac:dyDescent="0.3">
      <c r="A119" s="82"/>
      <c r="B119" s="18">
        <v>24</v>
      </c>
      <c r="C119" s="82"/>
      <c r="D119" s="39"/>
      <c r="E119" s="40"/>
      <c r="F119" s="39"/>
      <c r="G119" s="47"/>
      <c r="H119" s="47"/>
      <c r="I119" s="47"/>
      <c r="J119" s="47"/>
      <c r="K119" s="39"/>
      <c r="L119" s="47"/>
      <c r="M119" s="47"/>
      <c r="N119" s="47"/>
      <c r="O119" s="48"/>
    </row>
    <row r="120" spans="1:15" ht="15" customHeight="1" x14ac:dyDescent="0.3">
      <c r="A120" s="82"/>
      <c r="B120" s="18">
        <v>48</v>
      </c>
      <c r="C120" s="82"/>
      <c r="D120" s="39"/>
      <c r="E120" s="40"/>
      <c r="F120" s="39"/>
      <c r="G120" s="47"/>
      <c r="H120" s="47"/>
      <c r="I120" s="47"/>
      <c r="J120" s="47"/>
      <c r="K120" s="39"/>
      <c r="L120" s="47"/>
      <c r="M120" s="47"/>
      <c r="N120" s="47"/>
      <c r="O120" s="48"/>
    </row>
    <row r="121" spans="1:15" ht="15" customHeight="1" x14ac:dyDescent="0.3">
      <c r="A121" s="83"/>
      <c r="B121" s="18">
        <v>96</v>
      </c>
      <c r="C121" s="83"/>
      <c r="D121" s="39"/>
      <c r="E121" s="40"/>
      <c r="F121" s="39"/>
      <c r="G121" s="47"/>
      <c r="H121" s="47"/>
      <c r="I121" s="47"/>
      <c r="J121" s="47"/>
      <c r="K121" s="39"/>
      <c r="L121" s="47"/>
      <c r="M121" s="47"/>
      <c r="N121" s="47"/>
      <c r="O121" s="48"/>
    </row>
    <row r="122" spans="1:15" ht="15" customHeight="1" x14ac:dyDescent="0.3">
      <c r="A122" s="77" t="s">
        <v>30</v>
      </c>
      <c r="B122" s="18">
        <v>12</v>
      </c>
      <c r="C122" s="49">
        <v>883</v>
      </c>
      <c r="D122" s="39"/>
      <c r="E122" s="40"/>
      <c r="F122" s="39"/>
      <c r="G122" s="47"/>
      <c r="H122" s="47"/>
      <c r="I122" s="47"/>
      <c r="J122" s="47"/>
      <c r="K122" s="39"/>
      <c r="L122" s="47"/>
      <c r="M122" s="47"/>
      <c r="N122" s="47"/>
      <c r="O122" s="48"/>
    </row>
    <row r="123" spans="1:15" ht="15" customHeight="1" x14ac:dyDescent="0.3">
      <c r="A123" s="82"/>
      <c r="B123" s="18">
        <v>24</v>
      </c>
      <c r="C123" s="82"/>
      <c r="D123" s="39"/>
      <c r="E123" s="40"/>
      <c r="F123" s="39"/>
      <c r="G123" s="47"/>
      <c r="H123" s="47"/>
      <c r="I123" s="47"/>
      <c r="J123" s="47"/>
      <c r="K123" s="39"/>
      <c r="L123" s="47"/>
      <c r="M123" s="47"/>
      <c r="N123" s="47"/>
      <c r="O123" s="48"/>
    </row>
    <row r="124" spans="1:15" ht="15" customHeight="1" x14ac:dyDescent="0.3">
      <c r="A124" s="82"/>
      <c r="B124" s="18">
        <v>48</v>
      </c>
      <c r="C124" s="82"/>
      <c r="D124" s="39"/>
      <c r="E124" s="40"/>
      <c r="F124" s="39"/>
      <c r="G124" s="47"/>
      <c r="H124" s="47"/>
      <c r="I124" s="47"/>
      <c r="J124" s="47"/>
      <c r="K124" s="39"/>
      <c r="L124" s="47"/>
      <c r="M124" s="47"/>
      <c r="N124" s="47"/>
      <c r="O124" s="48"/>
    </row>
    <row r="125" spans="1:15" ht="15" customHeight="1" x14ac:dyDescent="0.3">
      <c r="A125" s="83"/>
      <c r="B125" s="18">
        <v>96</v>
      </c>
      <c r="C125" s="83"/>
      <c r="D125" s="39"/>
      <c r="E125" s="40"/>
      <c r="F125" s="39"/>
      <c r="G125" s="47"/>
      <c r="H125" s="47"/>
      <c r="I125" s="47"/>
      <c r="J125" s="47"/>
      <c r="K125" s="39"/>
      <c r="L125" s="47"/>
      <c r="M125" s="47"/>
      <c r="N125" s="47"/>
      <c r="O125" s="48"/>
    </row>
    <row r="126" spans="1:15" ht="15" customHeight="1" x14ac:dyDescent="0.3">
      <c r="A126" s="77" t="s">
        <v>31</v>
      </c>
      <c r="B126" s="18">
        <v>12</v>
      </c>
      <c r="C126" s="49">
        <v>170</v>
      </c>
      <c r="D126" s="39" t="s">
        <v>50</v>
      </c>
      <c r="E126" s="40">
        <v>1</v>
      </c>
      <c r="F126" s="39" t="s">
        <v>51</v>
      </c>
      <c r="G126" s="47">
        <v>256</v>
      </c>
      <c r="H126" s="47">
        <v>3</v>
      </c>
      <c r="I126" s="47">
        <v>16</v>
      </c>
      <c r="J126" s="47" t="s">
        <v>52</v>
      </c>
      <c r="K126" s="39">
        <v>512</v>
      </c>
      <c r="L126" s="47">
        <v>49</v>
      </c>
      <c r="M126" s="47">
        <v>0.3</v>
      </c>
      <c r="N126" s="47">
        <v>0.1</v>
      </c>
      <c r="O126" s="48">
        <v>6.2003687271832959E-4</v>
      </c>
    </row>
    <row r="127" spans="1:15" ht="15" customHeight="1" x14ac:dyDescent="0.3">
      <c r="A127" s="82"/>
      <c r="B127" s="18">
        <v>24</v>
      </c>
      <c r="C127" s="82"/>
      <c r="D127" s="39" t="s">
        <v>50</v>
      </c>
      <c r="E127" s="40">
        <v>2</v>
      </c>
      <c r="F127" s="39" t="s">
        <v>51</v>
      </c>
      <c r="G127" s="47">
        <v>256</v>
      </c>
      <c r="H127" s="47">
        <v>2</v>
      </c>
      <c r="I127" s="47">
        <v>32</v>
      </c>
      <c r="J127" s="47" t="s">
        <v>52</v>
      </c>
      <c r="K127" s="39">
        <v>256</v>
      </c>
      <c r="L127" s="47">
        <v>25</v>
      </c>
      <c r="M127" s="47">
        <v>0</v>
      </c>
      <c r="N127" s="47">
        <v>0.1</v>
      </c>
      <c r="O127" s="48">
        <v>5.0000000000000001E-4</v>
      </c>
    </row>
    <row r="128" spans="1:15" ht="15" customHeight="1" x14ac:dyDescent="0.3">
      <c r="A128" s="82"/>
      <c r="B128" s="18">
        <v>48</v>
      </c>
      <c r="C128" s="82"/>
      <c r="D128" s="39" t="s">
        <v>50</v>
      </c>
      <c r="E128" s="40">
        <v>1</v>
      </c>
      <c r="F128" s="39" t="s">
        <v>51</v>
      </c>
      <c r="G128" s="47">
        <v>256</v>
      </c>
      <c r="H128" s="47">
        <v>3</v>
      </c>
      <c r="I128" s="47">
        <v>16</v>
      </c>
      <c r="J128" s="47" t="s">
        <v>52</v>
      </c>
      <c r="K128" s="39">
        <v>128</v>
      </c>
      <c r="L128" s="47">
        <v>49</v>
      </c>
      <c r="M128" s="47">
        <v>0.1</v>
      </c>
      <c r="N128" s="47">
        <v>0.2</v>
      </c>
      <c r="O128" s="48">
        <v>1.2469387783051249E-3</v>
      </c>
    </row>
    <row r="129" spans="1:15" ht="15" customHeight="1" x14ac:dyDescent="0.3">
      <c r="A129" s="83"/>
      <c r="B129" s="18">
        <v>96</v>
      </c>
      <c r="C129" s="83"/>
      <c r="D129" s="39" t="s">
        <v>50</v>
      </c>
      <c r="E129" s="40">
        <v>1</v>
      </c>
      <c r="F129" s="39" t="s">
        <v>53</v>
      </c>
      <c r="G129" s="47">
        <v>256</v>
      </c>
      <c r="H129" s="47">
        <v>2</v>
      </c>
      <c r="I129" s="47">
        <v>32</v>
      </c>
      <c r="J129" s="47" t="s">
        <v>52</v>
      </c>
      <c r="K129" s="39">
        <v>256</v>
      </c>
      <c r="L129" s="47">
        <v>25</v>
      </c>
      <c r="M129" s="47">
        <v>0.3</v>
      </c>
      <c r="N129" s="47">
        <v>0.2</v>
      </c>
      <c r="O129" s="48">
        <v>1.0087021676528909E-3</v>
      </c>
    </row>
    <row r="130" spans="1:15" ht="15" customHeight="1" x14ac:dyDescent="0.3">
      <c r="A130" s="77" t="s">
        <v>32</v>
      </c>
      <c r="B130" s="18">
        <v>24</v>
      </c>
      <c r="C130" s="49">
        <v>7</v>
      </c>
      <c r="D130" s="39" t="s">
        <v>50</v>
      </c>
      <c r="E130" s="40">
        <v>1</v>
      </c>
      <c r="F130" s="39" t="s">
        <v>51</v>
      </c>
      <c r="G130" s="47">
        <v>256</v>
      </c>
      <c r="H130" s="47">
        <v>2</v>
      </c>
      <c r="I130" s="47">
        <v>16</v>
      </c>
      <c r="J130" s="47" t="s">
        <v>52</v>
      </c>
      <c r="K130" s="39">
        <v>128</v>
      </c>
      <c r="L130" s="47">
        <v>13</v>
      </c>
      <c r="M130" s="47">
        <v>0</v>
      </c>
      <c r="N130" s="47">
        <v>0.3</v>
      </c>
      <c r="O130" s="48">
        <v>9.1754860967406776E-4</v>
      </c>
    </row>
    <row r="131" spans="1:15" ht="15" customHeight="1" x14ac:dyDescent="0.3">
      <c r="A131" s="82"/>
      <c r="B131" s="18">
        <v>36</v>
      </c>
      <c r="C131" s="82"/>
      <c r="D131" s="39" t="s">
        <v>50</v>
      </c>
      <c r="E131" s="40">
        <v>2</v>
      </c>
      <c r="F131" s="39" t="s">
        <v>51</v>
      </c>
      <c r="G131" s="47">
        <v>256</v>
      </c>
      <c r="H131" s="47">
        <v>3</v>
      </c>
      <c r="I131" s="47">
        <v>16</v>
      </c>
      <c r="J131" s="47" t="s">
        <v>52</v>
      </c>
      <c r="K131" s="39">
        <v>128</v>
      </c>
      <c r="L131" s="47">
        <v>13</v>
      </c>
      <c r="M131" s="47">
        <v>0.2</v>
      </c>
      <c r="N131" s="47">
        <v>0.2</v>
      </c>
      <c r="O131" s="48">
        <v>7.6084009041176937E-4</v>
      </c>
    </row>
    <row r="132" spans="1:15" ht="15" customHeight="1" x14ac:dyDescent="0.3">
      <c r="A132" s="82"/>
      <c r="B132" s="18">
        <v>48</v>
      </c>
      <c r="C132" s="82"/>
      <c r="D132" s="39" t="s">
        <v>50</v>
      </c>
      <c r="E132" s="40">
        <v>1</v>
      </c>
      <c r="F132" s="39" t="s">
        <v>53</v>
      </c>
      <c r="G132" s="47">
        <v>256</v>
      </c>
      <c r="H132" s="47">
        <v>1</v>
      </c>
      <c r="I132" s="47">
        <v>16</v>
      </c>
      <c r="J132" s="47" t="s">
        <v>52</v>
      </c>
      <c r="K132" s="39">
        <v>512</v>
      </c>
      <c r="L132" s="47">
        <v>49</v>
      </c>
      <c r="M132" s="47">
        <v>0</v>
      </c>
      <c r="N132" s="47">
        <v>0.2</v>
      </c>
      <c r="O132" s="48">
        <v>1.5940324083684801E-3</v>
      </c>
    </row>
    <row r="133" spans="1:15" ht="15" customHeight="1" x14ac:dyDescent="0.3">
      <c r="A133" s="83"/>
      <c r="B133" s="18">
        <v>60</v>
      </c>
      <c r="C133" s="83"/>
      <c r="D133" s="39" t="s">
        <v>50</v>
      </c>
      <c r="E133" s="40">
        <v>1</v>
      </c>
      <c r="F133" s="39" t="s">
        <v>53</v>
      </c>
      <c r="G133" s="47">
        <v>512</v>
      </c>
      <c r="H133" s="47">
        <v>2</v>
      </c>
      <c r="I133" s="47">
        <v>16</v>
      </c>
      <c r="J133" s="47" t="s">
        <v>52</v>
      </c>
      <c r="K133" s="39">
        <v>256</v>
      </c>
      <c r="L133" s="47">
        <v>25</v>
      </c>
      <c r="M133" s="47">
        <v>0</v>
      </c>
      <c r="N133" s="47">
        <v>0.3</v>
      </c>
      <c r="O133" s="48">
        <v>1.851914820197726E-3</v>
      </c>
    </row>
  </sheetData>
  <mergeCells count="62">
    <mergeCell ref="A1:V1"/>
    <mergeCell ref="C106:C109"/>
    <mergeCell ref="K2:L2"/>
    <mergeCell ref="Z2:AA2"/>
    <mergeCell ref="A24:A28"/>
    <mergeCell ref="A39:A43"/>
    <mergeCell ref="C82:C85"/>
    <mergeCell ref="A69:A73"/>
    <mergeCell ref="A54:A58"/>
    <mergeCell ref="A106:A109"/>
    <mergeCell ref="O2:P2"/>
    <mergeCell ref="A102:A105"/>
    <mergeCell ref="Q2:R2"/>
    <mergeCell ref="C102:C105"/>
    <mergeCell ref="C78:C81"/>
    <mergeCell ref="C86:C89"/>
    <mergeCell ref="C90:C93"/>
    <mergeCell ref="C2:D2"/>
    <mergeCell ref="A126:A129"/>
    <mergeCell ref="C130:C133"/>
    <mergeCell ref="E2:F2"/>
    <mergeCell ref="C110:C113"/>
    <mergeCell ref="A122:A125"/>
    <mergeCell ref="C122:C125"/>
    <mergeCell ref="A130:A133"/>
    <mergeCell ref="A82:A85"/>
    <mergeCell ref="A77:B77"/>
    <mergeCell ref="A98:A101"/>
    <mergeCell ref="X1:AA1"/>
    <mergeCell ref="A14:A18"/>
    <mergeCell ref="A90:A93"/>
    <mergeCell ref="M2:N2"/>
    <mergeCell ref="S2:T2"/>
    <mergeCell ref="A44:A48"/>
    <mergeCell ref="U2:V2"/>
    <mergeCell ref="A29:A33"/>
    <mergeCell ref="A9:A13"/>
    <mergeCell ref="A76:C76"/>
    <mergeCell ref="A86:A89"/>
    <mergeCell ref="A19:A23"/>
    <mergeCell ref="A64:A68"/>
    <mergeCell ref="A59:A63"/>
    <mergeCell ref="A3:B3"/>
    <mergeCell ref="A49:A53"/>
    <mergeCell ref="G2:H2"/>
    <mergeCell ref="X2:Y2"/>
    <mergeCell ref="D76:O76"/>
    <mergeCell ref="I2:J2"/>
    <mergeCell ref="A78:A81"/>
    <mergeCell ref="A4:A8"/>
    <mergeCell ref="A75:O75"/>
    <mergeCell ref="A34:A38"/>
    <mergeCell ref="A2:B2"/>
    <mergeCell ref="C98:C101"/>
    <mergeCell ref="A114:A117"/>
    <mergeCell ref="A94:A97"/>
    <mergeCell ref="A110:A113"/>
    <mergeCell ref="C126:C129"/>
    <mergeCell ref="A118:A121"/>
    <mergeCell ref="C118:C121"/>
    <mergeCell ref="C94:C97"/>
    <mergeCell ref="C114:C117"/>
  </mergeCells>
  <phoneticPr fontId="10" type="noConversion"/>
  <conditionalFormatting sqref="C4:C73 E4:E73 G4:G73 I4:I73 K4:K73 M4:M73 O4:O73 Q4:Q73 S4:S73 U4:U73">
    <cfRule type="expression" dxfId="42" priority="27" stopIfTrue="1">
      <formula>C4=$X4</formula>
    </cfRule>
    <cfRule type="expression" dxfId="41" priority="28">
      <formula>C4=$Z4</formula>
    </cfRule>
  </conditionalFormatting>
  <conditionalFormatting sqref="D4:D73 F4:F73 H4:H73 J4:J73 L4:L73 N4:N73 P4:P73 R4:R73 T4:T73 V4:V73">
    <cfRule type="expression" dxfId="40" priority="33" stopIfTrue="1">
      <formula>D4=$Y4</formula>
    </cfRule>
    <cfRule type="expression" dxfId="39" priority="34">
      <formula>D4=$AA4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54"/>
  <sheetViews>
    <sheetView topLeftCell="P113" zoomScale="85" zoomScaleNormal="85" workbookViewId="0">
      <selection activeCell="AH150" sqref="AH150:AI154"/>
    </sheetView>
  </sheetViews>
  <sheetFormatPr defaultRowHeight="14.4" x14ac:dyDescent="0.25"/>
  <sheetData>
    <row r="1" spans="1:32" ht="15.6" customHeight="1" x14ac:dyDescent="0.25">
      <c r="A1" s="73"/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B1" s="24"/>
      <c r="AC1" s="24"/>
      <c r="AD1" s="24"/>
      <c r="AE1" s="24"/>
    </row>
    <row r="2" spans="1:32" ht="15.6" customHeight="1" x14ac:dyDescent="0.25">
      <c r="A2" s="50"/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B2" s="24"/>
      <c r="AC2" s="24"/>
      <c r="AD2" s="24"/>
      <c r="AE2" s="24"/>
    </row>
    <row r="3" spans="1:32" ht="15.6" customHeight="1" x14ac:dyDescent="0.25">
      <c r="A3" s="50"/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B3" s="24"/>
      <c r="AC3" s="24"/>
      <c r="AD3" s="24"/>
      <c r="AE3" s="24"/>
    </row>
    <row r="4" spans="1:32" ht="15.6" customHeight="1" x14ac:dyDescent="0.25">
      <c r="A4" s="50"/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B4" s="24"/>
      <c r="AC4" s="24"/>
      <c r="AD4" s="24"/>
      <c r="AE4" s="24"/>
    </row>
    <row r="5" spans="1:32" ht="15.6" customHeight="1" x14ac:dyDescent="0.25">
      <c r="A5" s="51"/>
      <c r="B5" s="22"/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B5" s="24"/>
      <c r="AC5" s="24"/>
      <c r="AD5" s="24"/>
      <c r="AE5" s="24"/>
    </row>
    <row r="8" spans="1:32" x14ac:dyDescent="0.25">
      <c r="A8" s="26" t="s">
        <v>54</v>
      </c>
      <c r="B8" s="35"/>
    </row>
    <row r="9" spans="1:32" ht="15.6" customHeight="1" x14ac:dyDescent="0.25">
      <c r="A9" s="21" t="s">
        <v>16</v>
      </c>
      <c r="B9" s="21" t="s">
        <v>17</v>
      </c>
      <c r="D9" s="70" t="s">
        <v>55</v>
      </c>
      <c r="E9" s="27">
        <v>96</v>
      </c>
      <c r="F9" s="28"/>
      <c r="G9" s="28"/>
      <c r="H9" s="28">
        <v>0.13900000000000001</v>
      </c>
      <c r="I9" s="28">
        <v>0.23499999999999999</v>
      </c>
      <c r="J9" s="28">
        <v>0.14799999999999999</v>
      </c>
      <c r="K9" s="28">
        <v>0.24</v>
      </c>
      <c r="L9" s="28">
        <v>0.20100000000000001</v>
      </c>
      <c r="M9" s="28">
        <v>0.28100000000000003</v>
      </c>
      <c r="N9" s="28">
        <v>0.18099999999999999</v>
      </c>
      <c r="O9" s="28">
        <v>0.27</v>
      </c>
      <c r="P9" s="28">
        <v>0.219</v>
      </c>
      <c r="Q9" s="28">
        <v>0.314</v>
      </c>
      <c r="R9" s="28">
        <v>0.23699999999999999</v>
      </c>
      <c r="S9" s="28">
        <v>0.32900000000000001</v>
      </c>
      <c r="T9" s="28">
        <v>0.16800000000000001</v>
      </c>
      <c r="U9" s="28">
        <v>0.27200000000000002</v>
      </c>
      <c r="V9" s="28">
        <v>0.19700000000000001</v>
      </c>
      <c r="W9" s="28">
        <v>0.28199999999999997</v>
      </c>
      <c r="X9" s="28">
        <v>0.193</v>
      </c>
      <c r="Y9" s="28">
        <v>0.308</v>
      </c>
      <c r="Z9" s="28">
        <v>0.20100000000000001</v>
      </c>
      <c r="AA9" s="28">
        <v>0.317</v>
      </c>
      <c r="AC9" s="24">
        <f t="array" ref="AC9">SMALL(IF(MOD(COLUMN(F9:Z9),2)=1, IF(ISNUMBER(F9:Z9), F9:Z9)), 1)</f>
        <v>0.23499999999999999</v>
      </c>
      <c r="AD9" s="24">
        <f t="array" ref="AD9">SMALL(IF(MOD(COLUMN(G9:AA9),2)=0, IF(ISNUMBER(G9:AA9), G9:AA9)), 1)</f>
        <v>0.13900000000000001</v>
      </c>
      <c r="AE9" s="24">
        <f t="array" ref="AE9">SMALL(IF(MOD(COLUMN(F9:Z9),2)=1, IF(ISNUMBER(F9:Z9), F9:Z9)), 2)</f>
        <v>0.24</v>
      </c>
      <c r="AF9" s="24">
        <f t="array" ref="AF9">SMALL(IF(MOD(COLUMN(G9:AA9),2)=0, IF(ISNUMBER(G9:AA9), G9:AA9)), 2)</f>
        <v>0.14799999999999999</v>
      </c>
    </row>
    <row r="10" spans="1:32" ht="15.6" customHeight="1" x14ac:dyDescent="0.25">
      <c r="A10" s="6">
        <v>0.33700000000000002</v>
      </c>
      <c r="B10" s="6">
        <v>0.374</v>
      </c>
      <c r="D10" s="50"/>
      <c r="E10" s="27">
        <v>192</v>
      </c>
      <c r="F10" s="28"/>
      <c r="G10" s="28"/>
      <c r="H10" s="28">
        <v>0.159</v>
      </c>
      <c r="I10" s="28">
        <v>0.255</v>
      </c>
      <c r="J10" s="28">
        <v>0.16200000000000001</v>
      </c>
      <c r="K10" s="28">
        <v>0.253</v>
      </c>
      <c r="L10" s="28">
        <v>0.20100000000000001</v>
      </c>
      <c r="M10" s="28">
        <v>0.28299999999999997</v>
      </c>
      <c r="N10" s="28">
        <v>0.188</v>
      </c>
      <c r="O10" s="28">
        <v>0.27400000000000002</v>
      </c>
      <c r="P10" s="28">
        <v>0.23100000000000001</v>
      </c>
      <c r="Q10" s="28">
        <v>0.32200000000000001</v>
      </c>
      <c r="R10" s="28">
        <v>0.23599999999999999</v>
      </c>
      <c r="S10" s="28">
        <v>0.33</v>
      </c>
      <c r="T10" s="28">
        <v>0.184</v>
      </c>
      <c r="U10" s="28">
        <v>0.28899999999999998</v>
      </c>
      <c r="V10" s="28">
        <v>0.19600000000000001</v>
      </c>
      <c r="W10" s="28">
        <v>0.28499999999999998</v>
      </c>
      <c r="X10" s="28">
        <v>0.20100000000000001</v>
      </c>
      <c r="Y10" s="28">
        <v>0.315</v>
      </c>
      <c r="Z10" s="28">
        <v>0.222</v>
      </c>
      <c r="AA10" s="28">
        <v>0.33400000000000002</v>
      </c>
      <c r="AC10" s="24">
        <f t="array" ref="AC10">SMALL(IF(MOD(COLUMN(F10:Z10),2)=1, IF(ISNUMBER(F10:Z10), F10:Z10)), 1)</f>
        <v>0.253</v>
      </c>
      <c r="AD10" s="24">
        <f t="array" ref="AD10">SMALL(IF(MOD(COLUMN(G10:AA10),2)=0, IF(ISNUMBER(G10:AA10), G10:AA10)), 1)</f>
        <v>0.159</v>
      </c>
      <c r="AE10" s="24">
        <f t="array" ref="AE10">SMALL(IF(MOD(COLUMN(F10:Z10),2)=1, IF(ISNUMBER(F10:Z10), F10:Z10)), 2)</f>
        <v>0.255</v>
      </c>
      <c r="AF10" s="24">
        <f t="array" ref="AF10">SMALL(IF(MOD(COLUMN(G10:AA10),2)=0, IF(ISNUMBER(G10:AA10), G10:AA10)), 2)</f>
        <v>0.16200000000000001</v>
      </c>
    </row>
    <row r="11" spans="1:32" ht="15.6" customHeight="1" x14ac:dyDescent="0.25">
      <c r="A11" s="6">
        <v>0.377</v>
      </c>
      <c r="B11" s="6">
        <v>0.39200000000000002</v>
      </c>
      <c r="D11" s="50"/>
      <c r="E11" s="27">
        <v>336</v>
      </c>
      <c r="F11" s="28"/>
      <c r="G11" s="28"/>
      <c r="H11" s="28">
        <v>0.17599999999999999</v>
      </c>
      <c r="I11" s="28">
        <v>0.27200000000000002</v>
      </c>
      <c r="J11" s="28">
        <v>0.17799999999999999</v>
      </c>
      <c r="K11" s="28">
        <v>0.26900000000000002</v>
      </c>
      <c r="L11" s="28">
        <v>0.215</v>
      </c>
      <c r="M11" s="28">
        <v>0.29799999999999999</v>
      </c>
      <c r="N11" s="28">
        <v>0.20399999999999999</v>
      </c>
      <c r="O11" s="28">
        <v>0.29299999999999998</v>
      </c>
      <c r="P11" s="28">
        <v>0.246</v>
      </c>
      <c r="Q11" s="28">
        <v>0.33700000000000002</v>
      </c>
      <c r="R11" s="28">
        <v>0.249</v>
      </c>
      <c r="S11" s="28">
        <v>0.34399999999999997</v>
      </c>
      <c r="T11" s="28">
        <v>0.19800000000000001</v>
      </c>
      <c r="U11" s="28">
        <v>0.3</v>
      </c>
      <c r="V11" s="28">
        <v>0.20899999999999999</v>
      </c>
      <c r="W11" s="28">
        <v>0.30099999999999999</v>
      </c>
      <c r="X11" s="28">
        <v>0.214</v>
      </c>
      <c r="Y11" s="28">
        <v>0.32900000000000001</v>
      </c>
      <c r="Z11" s="28">
        <v>0.23100000000000001</v>
      </c>
      <c r="AA11" s="28">
        <v>0.33800000000000002</v>
      </c>
      <c r="AC11" s="24">
        <f t="array" ref="AC11">SMALL(IF(MOD(COLUMN(F11:Z11),2)=1, IF(ISNUMBER(F11:Z11), F11:Z11)), 1)</f>
        <v>0.26900000000000002</v>
      </c>
      <c r="AD11" s="24">
        <f t="array" ref="AD11">SMALL(IF(MOD(COLUMN(G11:AA11),2)=0, IF(ISNUMBER(G11:AA11), G11:AA11)), 1)</f>
        <v>0.17599999999999999</v>
      </c>
      <c r="AE11" s="24">
        <f t="array" ref="AE11">SMALL(IF(MOD(COLUMN(F11:Z11),2)=1, IF(ISNUMBER(F11:Z11), F11:Z11)), 2)</f>
        <v>0.27200000000000002</v>
      </c>
      <c r="AF11" s="24">
        <f t="array" ref="AF11">SMALL(IF(MOD(COLUMN(G11:AA11),2)=0, IF(ISNUMBER(G11:AA11), G11:AA11)), 2)</f>
        <v>0.17799999999999999</v>
      </c>
    </row>
    <row r="12" spans="1:32" ht="15.6" customHeight="1" x14ac:dyDescent="0.25">
      <c r="A12" s="6">
        <v>0.40100000000000002</v>
      </c>
      <c r="B12" s="6">
        <v>0.41199999999999998</v>
      </c>
      <c r="D12" s="50"/>
      <c r="E12" s="27">
        <v>720</v>
      </c>
      <c r="F12" s="28"/>
      <c r="G12" s="28"/>
      <c r="H12" s="28">
        <v>0.20399999999999999</v>
      </c>
      <c r="I12" s="28">
        <v>0.29799999999999999</v>
      </c>
      <c r="J12" s="28">
        <v>0.22500000000000001</v>
      </c>
      <c r="K12" s="28">
        <v>0.317</v>
      </c>
      <c r="L12" s="28">
        <v>0.25700000000000001</v>
      </c>
      <c r="M12" s="28">
        <v>0.33100000000000002</v>
      </c>
      <c r="N12" s="28">
        <v>0.246</v>
      </c>
      <c r="O12" s="28">
        <v>0.32400000000000001</v>
      </c>
      <c r="P12" s="28">
        <v>0.28000000000000003</v>
      </c>
      <c r="Q12" s="28">
        <v>0.36299999999999999</v>
      </c>
      <c r="R12" s="28">
        <v>0.28399999999999997</v>
      </c>
      <c r="S12" s="28">
        <v>0.373</v>
      </c>
      <c r="T12" s="28">
        <v>0.22</v>
      </c>
      <c r="U12" s="28">
        <v>0.32</v>
      </c>
      <c r="V12" s="28">
        <v>0.245</v>
      </c>
      <c r="W12" s="28">
        <v>0.33300000000000002</v>
      </c>
      <c r="X12" s="28">
        <v>0.246</v>
      </c>
      <c r="Y12" s="28">
        <v>0.35499999999999998</v>
      </c>
      <c r="Z12" s="28">
        <v>0.254</v>
      </c>
      <c r="AA12" s="28">
        <v>0.36099999999999999</v>
      </c>
      <c r="AC12" s="24">
        <f t="array" ref="AC12">SMALL(IF(MOD(COLUMN(F12:Z12),2)=1, IF(ISNUMBER(F12:Z12), F12:Z12)), 1)</f>
        <v>0.29799999999999999</v>
      </c>
      <c r="AD12" s="24">
        <f t="array" ref="AD12">SMALL(IF(MOD(COLUMN(G12:AA12),2)=0, IF(ISNUMBER(G12:AA12), G12:AA12)), 1)</f>
        <v>0.20399999999999999</v>
      </c>
      <c r="AE12" s="24">
        <f t="array" ref="AE12">SMALL(IF(MOD(COLUMN(F12:Z12),2)=1, IF(ISNUMBER(F12:Z12), F12:Z12)), 2)</f>
        <v>0.317</v>
      </c>
      <c r="AF12" s="24">
        <f t="array" ref="AF12">SMALL(IF(MOD(COLUMN(G12:AA12),2)=0, IF(ISNUMBER(G12:AA12), G12:AA12)), 2)</f>
        <v>0.22</v>
      </c>
    </row>
    <row r="13" spans="1:32" ht="15.6" customHeight="1" x14ac:dyDescent="0.25">
      <c r="A13" s="6">
        <v>0.498</v>
      </c>
      <c r="B13" s="6">
        <v>0.46400000000000002</v>
      </c>
      <c r="D13" s="51"/>
      <c r="E13" s="27" t="s">
        <v>19</v>
      </c>
      <c r="F13" s="28"/>
      <c r="G13" s="28"/>
      <c r="H13" s="28">
        <f t="shared" ref="H13:AA13" si="0">AVERAGE(H9:H12)</f>
        <v>0.16950000000000001</v>
      </c>
      <c r="I13" s="28">
        <f t="shared" si="0"/>
        <v>0.26500000000000001</v>
      </c>
      <c r="J13" s="28">
        <f t="shared" si="0"/>
        <v>0.17824999999999999</v>
      </c>
      <c r="K13" s="28">
        <f t="shared" si="0"/>
        <v>0.26974999999999999</v>
      </c>
      <c r="L13" s="28">
        <f t="shared" si="0"/>
        <v>0.2185</v>
      </c>
      <c r="M13" s="28">
        <f t="shared" si="0"/>
        <v>0.29825000000000002</v>
      </c>
      <c r="N13" s="28">
        <f t="shared" si="0"/>
        <v>0.20474999999999999</v>
      </c>
      <c r="O13" s="28">
        <f t="shared" si="0"/>
        <v>0.29025000000000001</v>
      </c>
      <c r="P13" s="28">
        <f t="shared" si="0"/>
        <v>0.24399999999999999</v>
      </c>
      <c r="Q13" s="28">
        <f t="shared" si="0"/>
        <v>0.33400000000000002</v>
      </c>
      <c r="R13" s="28">
        <f t="shared" si="0"/>
        <v>0.2515</v>
      </c>
      <c r="S13" s="28">
        <f t="shared" si="0"/>
        <v>0.34400000000000003</v>
      </c>
      <c r="T13" s="28">
        <f t="shared" si="0"/>
        <v>0.1925</v>
      </c>
      <c r="U13" s="28">
        <f t="shared" si="0"/>
        <v>0.29525000000000001</v>
      </c>
      <c r="V13" s="28">
        <f t="shared" si="0"/>
        <v>0.21174999999999999</v>
      </c>
      <c r="W13" s="28">
        <f t="shared" si="0"/>
        <v>0.30024999999999996</v>
      </c>
      <c r="X13" s="28">
        <f t="shared" si="0"/>
        <v>0.2135</v>
      </c>
      <c r="Y13" s="28">
        <f t="shared" si="0"/>
        <v>0.32674999999999998</v>
      </c>
      <c r="Z13" s="28">
        <f t="shared" si="0"/>
        <v>0.22700000000000001</v>
      </c>
      <c r="AA13" s="28">
        <f t="shared" si="0"/>
        <v>0.33750000000000002</v>
      </c>
      <c r="AC13" s="24">
        <f t="array" ref="AC13">SMALL(IF(MOD(COLUMN(F13:Z13),2)=1, IF(ISNUMBER(F13:Z13), F13:Z13)), 1)</f>
        <v>0.26500000000000001</v>
      </c>
      <c r="AD13" s="24">
        <f t="array" ref="AD13">SMALL(IF(MOD(COLUMN(G13:AA13),2)=0, IF(ISNUMBER(G13:AA13), G13:AA13)), 1)</f>
        <v>0.16950000000000001</v>
      </c>
      <c r="AE13" s="24">
        <f t="array" ref="AE13">SMALL(IF(MOD(COLUMN(F13:Z13),2)=1, IF(ISNUMBER(F13:Z13), F13:Z13)), 2)</f>
        <v>0.26974999999999999</v>
      </c>
      <c r="AF13" s="24">
        <f t="array" ref="AF13">SMALL(IF(MOD(COLUMN(G13:AA13),2)=0, IF(ISNUMBER(G13:AA13), G13:AA13)), 2)</f>
        <v>0.17824999999999999</v>
      </c>
    </row>
    <row r="14" spans="1:32" ht="15.6" customHeight="1" x14ac:dyDescent="0.25">
      <c r="A14" s="6">
        <f>AVERAGE(A10:A13)</f>
        <v>0.40325</v>
      </c>
      <c r="B14" s="6">
        <f>AVERAGE(B10:B13)</f>
        <v>0.41049999999999998</v>
      </c>
    </row>
    <row r="15" spans="1:32" ht="15.6" customHeight="1" x14ac:dyDescent="0.25">
      <c r="A15" s="6">
        <v>0.185</v>
      </c>
      <c r="B15" s="6">
        <v>0.27400000000000002</v>
      </c>
      <c r="D15" s="52" t="s">
        <v>55</v>
      </c>
      <c r="E15" s="4">
        <v>96</v>
      </c>
      <c r="F15" s="66">
        <v>321</v>
      </c>
      <c r="G15" s="71">
        <v>512</v>
      </c>
      <c r="H15" s="29"/>
      <c r="I15" s="29"/>
      <c r="J15" s="29"/>
      <c r="K15" s="29"/>
      <c r="L15" s="29"/>
      <c r="M15" s="29"/>
      <c r="N15" s="29"/>
      <c r="O15" s="29"/>
      <c r="P15" s="29"/>
      <c r="Q15" s="49"/>
      <c r="R15" s="60"/>
      <c r="S15" s="29"/>
      <c r="T15" s="29">
        <v>16</v>
      </c>
      <c r="U15" s="30"/>
      <c r="V15" s="29"/>
      <c r="W15" s="29"/>
      <c r="X15" s="29"/>
      <c r="Y15" s="29"/>
      <c r="Z15" s="29"/>
      <c r="AA15" s="49">
        <v>1E-3</v>
      </c>
      <c r="AB15" s="60"/>
    </row>
    <row r="16" spans="1:32" ht="15.6" customHeight="1" x14ac:dyDescent="0.25">
      <c r="A16" s="6">
        <v>0.248</v>
      </c>
      <c r="B16" s="6">
        <v>0.313</v>
      </c>
      <c r="D16" s="50"/>
      <c r="E16" s="4">
        <v>192</v>
      </c>
      <c r="F16" s="67"/>
      <c r="G16" s="50"/>
      <c r="H16" s="29"/>
      <c r="I16" s="29"/>
      <c r="J16" s="29"/>
      <c r="K16" s="29"/>
      <c r="L16" s="29"/>
      <c r="M16" s="29"/>
      <c r="N16" s="29"/>
      <c r="O16" s="29"/>
      <c r="P16" s="29"/>
      <c r="Q16" s="49"/>
      <c r="R16" s="60"/>
      <c r="S16" s="29"/>
      <c r="T16" s="29">
        <v>32</v>
      </c>
      <c r="U16" s="30"/>
      <c r="V16" s="29"/>
      <c r="W16" s="29"/>
      <c r="X16" s="29"/>
      <c r="Y16" s="29"/>
      <c r="Z16" s="29"/>
      <c r="AA16" s="49">
        <v>5.0000000000000001E-4</v>
      </c>
      <c r="AB16" s="60"/>
    </row>
    <row r="17" spans="1:36" ht="15.6" customHeight="1" x14ac:dyDescent="0.25">
      <c r="A17" s="6">
        <v>0.309</v>
      </c>
      <c r="B17" s="6">
        <v>0.35099999999999998</v>
      </c>
      <c r="D17" s="50"/>
      <c r="E17" s="4">
        <v>336</v>
      </c>
      <c r="F17" s="67"/>
      <c r="G17" s="50"/>
      <c r="H17" s="29"/>
      <c r="I17" s="29"/>
      <c r="J17" s="29"/>
      <c r="K17" s="29"/>
      <c r="L17" s="29"/>
      <c r="M17" s="29"/>
      <c r="N17" s="29"/>
      <c r="O17" s="29"/>
      <c r="P17" s="29"/>
      <c r="Q17" s="49"/>
      <c r="R17" s="60"/>
      <c r="S17" s="29"/>
      <c r="T17" s="29">
        <v>32</v>
      </c>
      <c r="U17" s="30"/>
      <c r="V17" s="29"/>
      <c r="W17" s="29"/>
      <c r="X17" s="29"/>
      <c r="Y17" s="29"/>
      <c r="Z17" s="29"/>
      <c r="AA17" s="49">
        <v>5.0000000000000001E-4</v>
      </c>
      <c r="AB17" s="60"/>
      <c r="AF17" s="69" t="s">
        <v>56</v>
      </c>
      <c r="AG17" s="60"/>
      <c r="AI17" s="64" t="s">
        <v>57</v>
      </c>
      <c r="AJ17" s="60"/>
    </row>
    <row r="18" spans="1:36" ht="15.6" customHeight="1" x14ac:dyDescent="0.25">
      <c r="A18" s="6">
        <v>0.40600000000000003</v>
      </c>
      <c r="B18" s="6">
        <v>0.40500000000000003</v>
      </c>
      <c r="D18" s="50"/>
      <c r="E18" s="4">
        <v>720</v>
      </c>
      <c r="F18" s="68"/>
      <c r="G18" s="51"/>
      <c r="H18" s="29"/>
      <c r="I18" s="29"/>
      <c r="J18" s="29"/>
      <c r="K18" s="29"/>
      <c r="L18" s="29"/>
      <c r="M18" s="29"/>
      <c r="N18" s="29"/>
      <c r="O18" s="29"/>
      <c r="P18" s="29"/>
      <c r="Q18" s="49"/>
      <c r="R18" s="60"/>
      <c r="S18" s="29"/>
      <c r="T18" s="29">
        <v>32</v>
      </c>
      <c r="U18" s="30"/>
      <c r="V18" s="29"/>
      <c r="W18" s="29"/>
      <c r="X18" s="29"/>
      <c r="Y18" s="29"/>
      <c r="Z18" s="29"/>
      <c r="AA18" s="49">
        <v>5.0000000000000001E-4</v>
      </c>
      <c r="AB18" s="60"/>
      <c r="AF18" s="4" t="s">
        <v>16</v>
      </c>
      <c r="AG18" s="4" t="s">
        <v>17</v>
      </c>
      <c r="AI18" s="21" t="s">
        <v>16</v>
      </c>
      <c r="AJ18" s="21" t="s">
        <v>17</v>
      </c>
    </row>
    <row r="19" spans="1:36" ht="15.6" customHeight="1" x14ac:dyDescent="0.25">
      <c r="A19" s="6">
        <f>AVERAGE(A15:A18)</f>
        <v>0.28700000000000003</v>
      </c>
      <c r="B19" s="6">
        <f>AVERAGE(B15:B18)</f>
        <v>0.33574999999999999</v>
      </c>
      <c r="D19" s="51"/>
      <c r="E19" s="4" t="s">
        <v>19</v>
      </c>
      <c r="F19" s="31"/>
      <c r="G19" s="36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8"/>
      <c r="AF19" s="6">
        <v>0.27700000000000002</v>
      </c>
      <c r="AG19" s="6">
        <v>0.33100000000000002</v>
      </c>
      <c r="AI19" s="6">
        <v>0.32</v>
      </c>
      <c r="AJ19" s="6">
        <v>0.36</v>
      </c>
    </row>
    <row r="20" spans="1:36" ht="15.6" customHeight="1" x14ac:dyDescent="0.25">
      <c r="A20" s="6">
        <v>0.39</v>
      </c>
      <c r="B20" s="6">
        <v>0.40300000000000002</v>
      </c>
      <c r="AF20" s="6">
        <v>0.31</v>
      </c>
      <c r="AG20" s="6">
        <v>0.35199999999999998</v>
      </c>
      <c r="AI20" s="6">
        <v>0.36099999999999999</v>
      </c>
      <c r="AJ20" s="6">
        <v>0.38300000000000001</v>
      </c>
    </row>
    <row r="21" spans="1:36" ht="15.6" customHeight="1" x14ac:dyDescent="0.25">
      <c r="A21" s="6">
        <v>0.45100000000000001</v>
      </c>
      <c r="B21" s="6">
        <v>0.438</v>
      </c>
      <c r="AF21" s="6">
        <v>0.34799999999999998</v>
      </c>
      <c r="AG21" s="6">
        <v>0.372</v>
      </c>
      <c r="AI21" s="6">
        <v>0.38600000000000001</v>
      </c>
      <c r="AJ21" s="6">
        <v>0.40200000000000002</v>
      </c>
    </row>
    <row r="22" spans="1:36" ht="15.6" customHeight="1" x14ac:dyDescent="0.25">
      <c r="A22" s="6">
        <v>0.496</v>
      </c>
      <c r="B22" s="6">
        <v>0.45800000000000002</v>
      </c>
      <c r="E22" t="s">
        <v>58</v>
      </c>
      <c r="AF22" s="6">
        <v>0.41099999999999998</v>
      </c>
      <c r="AG22" s="6">
        <v>0.40400000000000003</v>
      </c>
      <c r="AI22" s="6">
        <v>0.44500000000000001</v>
      </c>
      <c r="AJ22" s="6">
        <v>0.437</v>
      </c>
    </row>
    <row r="23" spans="1:36" ht="15.6" customHeight="1" x14ac:dyDescent="0.25">
      <c r="A23" s="6">
        <v>0.52</v>
      </c>
      <c r="B23" s="6">
        <v>0.49299999999999999</v>
      </c>
      <c r="E23" s="3" t="s">
        <v>31</v>
      </c>
      <c r="F23" s="3">
        <v>7.5999999999999998E-2</v>
      </c>
      <c r="G23" s="3">
        <v>0.17799999999999999</v>
      </c>
      <c r="H23" s="3">
        <v>7.9000000000000001E-2</v>
      </c>
      <c r="I23" s="3">
        <v>0.182</v>
      </c>
      <c r="J23" s="3">
        <v>0.13300000000000001</v>
      </c>
      <c r="K23" s="3">
        <v>0.247</v>
      </c>
      <c r="L23" s="3">
        <v>0.16800000000000001</v>
      </c>
      <c r="M23" s="3">
        <v>0.23200000000000001</v>
      </c>
      <c r="N23" s="3">
        <v>0.16500000000000001</v>
      </c>
      <c r="O23" s="3">
        <v>0.214</v>
      </c>
      <c r="P23" s="3">
        <v>0.22700000000000001</v>
      </c>
      <c r="Q23" s="3">
        <v>0.34300000000000003</v>
      </c>
      <c r="R23" s="3">
        <v>0.112</v>
      </c>
      <c r="S23" s="3">
        <v>0.21199999999999999</v>
      </c>
      <c r="T23" s="3">
        <v>0.154</v>
      </c>
      <c r="U23" s="3">
        <v>0.27600000000000002</v>
      </c>
      <c r="V23" s="3">
        <v>0.17299999999999999</v>
      </c>
      <c r="W23" s="3">
        <v>0.27300000000000002</v>
      </c>
      <c r="X23" s="3">
        <v>0.436</v>
      </c>
      <c r="Y23" s="3">
        <v>0.48499999999999999</v>
      </c>
      <c r="AF23" s="6">
        <v>0.33700000000000002</v>
      </c>
      <c r="AG23" s="6">
        <v>0.36499999999999999</v>
      </c>
      <c r="AI23" s="6">
        <v>0.37800000000000011</v>
      </c>
      <c r="AJ23" s="6">
        <v>0.39550000000000002</v>
      </c>
    </row>
    <row r="24" spans="1:36" ht="15.6" customHeight="1" x14ac:dyDescent="0.25">
      <c r="A24" s="6">
        <f>AVERAGE(A20:A23)</f>
        <v>0.46425</v>
      </c>
      <c r="B24" s="6">
        <f>AVERAGE(B20:B23)</f>
        <v>0.44799999999999995</v>
      </c>
      <c r="E24" s="3"/>
      <c r="F24" s="3">
        <v>0.104</v>
      </c>
      <c r="G24" s="3">
        <v>0.20899999999999999</v>
      </c>
      <c r="H24" s="3">
        <v>0.115</v>
      </c>
      <c r="I24" s="3">
        <v>0.219</v>
      </c>
      <c r="J24" s="3">
        <v>0.249</v>
      </c>
      <c r="K24" s="3">
        <v>0.34300000000000003</v>
      </c>
      <c r="L24" s="3">
        <v>0.224</v>
      </c>
      <c r="M24" s="3">
        <v>0.28100000000000003</v>
      </c>
      <c r="N24" s="3">
        <v>0.215</v>
      </c>
      <c r="O24" s="3">
        <v>0.26</v>
      </c>
      <c r="P24" s="3">
        <v>0.318</v>
      </c>
      <c r="Q24" s="3">
        <v>0.40899999999999997</v>
      </c>
      <c r="R24" s="3">
        <v>0.14099999999999999</v>
      </c>
      <c r="S24" s="3">
        <v>0.23799999999999999</v>
      </c>
      <c r="T24" s="3">
        <v>0.248</v>
      </c>
      <c r="U24" s="3">
        <v>0.35299999999999998</v>
      </c>
      <c r="V24" s="3">
        <v>0.21</v>
      </c>
      <c r="W24" s="3">
        <v>0.30099999999999999</v>
      </c>
      <c r="X24" s="3">
        <v>0.46700000000000003</v>
      </c>
      <c r="Y24" s="3">
        <v>0.502</v>
      </c>
      <c r="AF24" s="6">
        <v>0.14899999999999999</v>
      </c>
      <c r="AG24" s="6">
        <v>0.23699999999999999</v>
      </c>
      <c r="AI24" s="6">
        <v>0.17599999999999999</v>
      </c>
      <c r="AJ24" s="6">
        <v>0.26300000000000001</v>
      </c>
    </row>
    <row r="25" spans="1:36" ht="15.6" customHeight="1" x14ac:dyDescent="0.25">
      <c r="A25" s="6">
        <v>0.29799999999999999</v>
      </c>
      <c r="B25" s="6">
        <v>0.35099999999999998</v>
      </c>
      <c r="E25" s="3"/>
      <c r="F25" s="3">
        <v>0.16700000000000001</v>
      </c>
      <c r="G25" s="3">
        <v>0.22800000000000001</v>
      </c>
      <c r="H25" s="3">
        <v>0.186</v>
      </c>
      <c r="I25" s="3">
        <v>0.23499999999999999</v>
      </c>
      <c r="J25" s="3">
        <v>0.56899999999999995</v>
      </c>
      <c r="K25" s="3">
        <v>0.54400000000000004</v>
      </c>
      <c r="L25" s="3">
        <v>0.32100000000000001</v>
      </c>
      <c r="M25" s="3">
        <v>0.35399999999999998</v>
      </c>
      <c r="N25" s="3">
        <v>0.315</v>
      </c>
      <c r="O25" s="3">
        <v>0.35499999999999998</v>
      </c>
      <c r="P25" s="3">
        <v>0.497</v>
      </c>
      <c r="Q25" s="3">
        <v>0.51</v>
      </c>
      <c r="R25" s="3">
        <v>0.19800000000000001</v>
      </c>
      <c r="S25" s="3">
        <v>0.28299999999999997</v>
      </c>
      <c r="T25" s="3">
        <v>0.44</v>
      </c>
      <c r="U25" s="3">
        <v>0.47</v>
      </c>
      <c r="V25" s="3">
        <v>0.32</v>
      </c>
      <c r="W25" s="3">
        <v>0.39400000000000002</v>
      </c>
      <c r="X25" s="3">
        <v>0.96599999999999997</v>
      </c>
      <c r="Y25" s="3">
        <v>0.73299999999999998</v>
      </c>
      <c r="AF25" s="6">
        <v>0.20799999999999999</v>
      </c>
      <c r="AG25" s="6">
        <v>0.27700000000000002</v>
      </c>
      <c r="AI25" s="6">
        <v>0.24199999999999999</v>
      </c>
      <c r="AJ25" s="6">
        <v>0.30399999999999999</v>
      </c>
    </row>
    <row r="26" spans="1:36" ht="15.6" customHeight="1" x14ac:dyDescent="0.25">
      <c r="A26" s="6">
        <v>0.39300000000000002</v>
      </c>
      <c r="B26" s="6">
        <v>0.40699999999999997</v>
      </c>
      <c r="E26" s="3"/>
      <c r="F26" s="3">
        <v>0.245</v>
      </c>
      <c r="G26" s="3">
        <v>0.28000000000000003</v>
      </c>
      <c r="H26" s="3">
        <v>0.221</v>
      </c>
      <c r="I26" s="3">
        <v>0.26700000000000002</v>
      </c>
      <c r="J26" s="3">
        <v>1.1659999999999999</v>
      </c>
      <c r="K26" s="3">
        <v>0.81399999999999995</v>
      </c>
      <c r="L26" s="3">
        <v>0.40799999999999997</v>
      </c>
      <c r="M26" s="3">
        <v>0.41699999999999998</v>
      </c>
      <c r="N26" s="3">
        <v>0.377</v>
      </c>
      <c r="O26" s="3">
        <v>0.39700000000000002</v>
      </c>
      <c r="P26" s="3">
        <v>0.72099999999999997</v>
      </c>
      <c r="Q26" s="3">
        <v>0.59199999999999997</v>
      </c>
      <c r="R26" s="3">
        <v>0.32</v>
      </c>
      <c r="S26" s="3">
        <v>0.35099999999999998</v>
      </c>
      <c r="T26" s="3">
        <v>0.67400000000000004</v>
      </c>
      <c r="U26" s="3">
        <v>0.56499999999999995</v>
      </c>
      <c r="V26" s="3">
        <v>0.442</v>
      </c>
      <c r="W26" s="3">
        <v>0.46500000000000002</v>
      </c>
      <c r="X26" s="3">
        <v>1.385</v>
      </c>
      <c r="Y26" s="3">
        <v>0.91500000000000004</v>
      </c>
      <c r="AF26" s="6">
        <v>0.26300000000000001</v>
      </c>
      <c r="AG26" s="6">
        <v>0.314</v>
      </c>
      <c r="AI26" s="6">
        <v>0.30399999999999999</v>
      </c>
      <c r="AJ26" s="6">
        <v>0.34399999999999997</v>
      </c>
    </row>
    <row r="27" spans="1:36" ht="15.6" customHeight="1" x14ac:dyDescent="0.25">
      <c r="A27" s="6">
        <v>0.436</v>
      </c>
      <c r="B27" s="6">
        <v>0.441</v>
      </c>
      <c r="E27" s="3"/>
      <c r="F27" s="3">
        <v>0.14799999999999999</v>
      </c>
      <c r="G27" s="3">
        <v>0.224</v>
      </c>
      <c r="H27" s="3">
        <v>0.15</v>
      </c>
      <c r="I27" s="3">
        <v>0.22600000000000001</v>
      </c>
      <c r="J27" s="3">
        <v>0.52900000000000003</v>
      </c>
      <c r="K27" s="3">
        <v>0.48699999999999999</v>
      </c>
      <c r="L27" s="3">
        <v>0.28000000000000003</v>
      </c>
      <c r="M27" s="3">
        <v>0.32100000000000001</v>
      </c>
      <c r="N27" s="3">
        <v>0.26800000000000002</v>
      </c>
      <c r="O27" s="3">
        <v>0.307</v>
      </c>
      <c r="P27" s="3">
        <v>0.441</v>
      </c>
      <c r="Q27" s="3">
        <v>0.46400000000000002</v>
      </c>
      <c r="R27" s="3">
        <v>0.193</v>
      </c>
      <c r="S27" s="3">
        <v>0.27100000000000002</v>
      </c>
      <c r="T27" s="3">
        <v>0.379</v>
      </c>
      <c r="U27" s="3">
        <v>0.41599999999999998</v>
      </c>
      <c r="V27" s="3">
        <v>0.28599999999999998</v>
      </c>
      <c r="W27" s="3">
        <v>0.35799999999999998</v>
      </c>
      <c r="X27" s="3">
        <v>0.81399999999999995</v>
      </c>
      <c r="Y27" s="3">
        <v>0.65900000000000003</v>
      </c>
      <c r="AF27" s="6">
        <v>0.33600000000000002</v>
      </c>
      <c r="AG27" s="6">
        <v>0.36199999999999999</v>
      </c>
      <c r="AI27" s="6">
        <v>0.40200000000000002</v>
      </c>
      <c r="AJ27" s="6">
        <v>0.40200000000000002</v>
      </c>
    </row>
    <row r="28" spans="1:36" ht="15.6" customHeight="1" x14ac:dyDescent="0.25">
      <c r="A28" s="6">
        <v>0.43099999999999999</v>
      </c>
      <c r="B28" s="6">
        <v>0.44900000000000001</v>
      </c>
      <c r="AF28" s="6">
        <v>0.23899999999999999</v>
      </c>
      <c r="AG28" s="6">
        <v>0.29799999999999999</v>
      </c>
      <c r="AI28" s="6">
        <v>0.30040000000000011</v>
      </c>
      <c r="AJ28" s="6">
        <v>0.32824999999999999</v>
      </c>
    </row>
    <row r="29" spans="1:36" ht="15.6" customHeight="1" x14ac:dyDescent="0.25">
      <c r="A29" s="6">
        <f>AVERAGE(A25:A28)</f>
        <v>0.38950000000000001</v>
      </c>
      <c r="B29" s="6">
        <f>AVERAGE(B25:B28)</f>
        <v>0.41200000000000003</v>
      </c>
      <c r="E29" s="3" t="s">
        <v>27</v>
      </c>
      <c r="F29" s="3">
        <v>0.38200000000000001</v>
      </c>
      <c r="G29" s="3">
        <v>0.26100000000000001</v>
      </c>
      <c r="H29" s="3">
        <v>0.39500000000000002</v>
      </c>
      <c r="I29" s="3">
        <v>0.26800000000000002</v>
      </c>
      <c r="J29" s="3">
        <v>0.64900000000000002</v>
      </c>
      <c r="K29" s="3">
        <v>0.38900000000000001</v>
      </c>
      <c r="L29" s="3">
        <v>0.46200000000000002</v>
      </c>
      <c r="M29" s="3">
        <v>0.29499999999999998</v>
      </c>
      <c r="N29" s="3">
        <v>0.52200000000000002</v>
      </c>
      <c r="O29" s="3">
        <v>0.28999999999999998</v>
      </c>
      <c r="P29" s="3">
        <v>0.80500000000000005</v>
      </c>
      <c r="Q29" s="3">
        <v>0.49299999999999999</v>
      </c>
      <c r="R29" s="3">
        <v>0.59299999999999997</v>
      </c>
      <c r="S29" s="3">
        <v>0.32100000000000001</v>
      </c>
      <c r="T29" s="3">
        <v>0.65</v>
      </c>
      <c r="U29" s="3">
        <v>0.39600000000000002</v>
      </c>
      <c r="V29" s="3">
        <v>0.58699999999999997</v>
      </c>
      <c r="W29" s="3">
        <v>0.36599999999999999</v>
      </c>
      <c r="X29" s="3">
        <v>0.61299999999999999</v>
      </c>
      <c r="Y29" s="3">
        <v>0.38800000000000001</v>
      </c>
      <c r="AF29" s="6">
        <v>0.33800000000000002</v>
      </c>
      <c r="AG29" s="6">
        <v>0.374</v>
      </c>
      <c r="AI29" s="6">
        <v>0.378</v>
      </c>
      <c r="AJ29" s="6">
        <v>0.39500000000000002</v>
      </c>
    </row>
    <row r="30" spans="1:36" ht="15.6" customHeight="1" x14ac:dyDescent="0.25">
      <c r="A30" s="6">
        <v>0.192</v>
      </c>
      <c r="B30" s="6">
        <v>0.28000000000000003</v>
      </c>
      <c r="E30" s="3"/>
      <c r="F30" s="3">
        <v>0.39600000000000002</v>
      </c>
      <c r="G30" s="3">
        <v>0.26700000000000002</v>
      </c>
      <c r="H30" s="3">
        <v>0.41699999999999998</v>
      </c>
      <c r="I30" s="3">
        <v>0.27600000000000002</v>
      </c>
      <c r="J30" s="3">
        <v>0.60099999999999998</v>
      </c>
      <c r="K30" s="3">
        <v>0.36599999999999999</v>
      </c>
      <c r="L30" s="3">
        <v>0.46600000000000003</v>
      </c>
      <c r="M30" s="3">
        <v>0.29599999999999999</v>
      </c>
      <c r="N30" s="3">
        <v>0.53</v>
      </c>
      <c r="O30" s="3">
        <v>0.29299999999999998</v>
      </c>
      <c r="P30" s="3">
        <v>0.75600000000000001</v>
      </c>
      <c r="Q30" s="3">
        <v>0.47399999999999998</v>
      </c>
      <c r="R30" s="3">
        <v>0.61699999999999999</v>
      </c>
      <c r="S30" s="3">
        <v>0.33600000000000002</v>
      </c>
      <c r="T30" s="3">
        <v>0.59799999999999998</v>
      </c>
      <c r="U30" s="3">
        <v>0.37</v>
      </c>
      <c r="V30" s="3">
        <v>0.60399999999999998</v>
      </c>
      <c r="W30" s="3">
        <v>0.373</v>
      </c>
      <c r="X30" s="3">
        <v>0.61599999999999999</v>
      </c>
      <c r="Y30" s="3">
        <v>0.38200000000000001</v>
      </c>
      <c r="AF30" s="6">
        <v>0.36199999999999999</v>
      </c>
      <c r="AG30" s="6">
        <v>0.39100000000000001</v>
      </c>
      <c r="AI30" s="6">
        <v>0.42699999999999999</v>
      </c>
      <c r="AJ30" s="6">
        <v>0.42799999999999999</v>
      </c>
    </row>
    <row r="31" spans="1:36" ht="15.6" customHeight="1" x14ac:dyDescent="0.25">
      <c r="A31" s="6">
        <v>0.191</v>
      </c>
      <c r="B31" s="6">
        <v>0.28000000000000003</v>
      </c>
      <c r="E31" s="3"/>
      <c r="F31" s="3">
        <v>0.41699999999999998</v>
      </c>
      <c r="G31" s="3">
        <v>0.27600000000000002</v>
      </c>
      <c r="H31" s="3">
        <v>0.433</v>
      </c>
      <c r="I31" s="3">
        <v>0.28299999999999997</v>
      </c>
      <c r="J31" s="3">
        <v>0.60899999999999999</v>
      </c>
      <c r="K31" s="3">
        <v>0.36899999999999999</v>
      </c>
      <c r="L31" s="3">
        <v>0.48199999999999998</v>
      </c>
      <c r="M31" s="3">
        <v>0.30399999999999999</v>
      </c>
      <c r="N31" s="3">
        <v>0.55800000000000005</v>
      </c>
      <c r="O31" s="3">
        <v>0.30499999999999999</v>
      </c>
      <c r="P31" s="3">
        <v>0.76200000000000001</v>
      </c>
      <c r="Q31" s="3">
        <v>0.47699999999999998</v>
      </c>
      <c r="R31" s="3">
        <v>0.629</v>
      </c>
      <c r="S31" s="3">
        <v>0.33600000000000002</v>
      </c>
      <c r="T31" s="3">
        <v>0.60499999999999998</v>
      </c>
      <c r="U31" s="3">
        <v>0.373</v>
      </c>
      <c r="V31" s="3">
        <v>0.621</v>
      </c>
      <c r="W31" s="3">
        <v>0.38300000000000001</v>
      </c>
      <c r="X31" s="3">
        <v>0.622</v>
      </c>
      <c r="Y31" s="3">
        <v>0.33700000000000002</v>
      </c>
      <c r="AF31" s="6">
        <v>0.378</v>
      </c>
      <c r="AG31" s="6">
        <v>0.40600000000000003</v>
      </c>
      <c r="AI31" s="6">
        <v>0.47099999999999997</v>
      </c>
      <c r="AJ31" s="6">
        <v>0.44500000000000001</v>
      </c>
    </row>
    <row r="32" spans="1:36" ht="15.6" customHeight="1" x14ac:dyDescent="0.25">
      <c r="A32" s="6">
        <v>0.21099999999999999</v>
      </c>
      <c r="B32" s="6">
        <v>0.29899999999999999</v>
      </c>
      <c r="E32" s="3"/>
      <c r="F32" s="3">
        <v>0.46</v>
      </c>
      <c r="G32" s="3">
        <v>0.3</v>
      </c>
      <c r="H32" s="3">
        <v>0.46700000000000003</v>
      </c>
      <c r="I32" s="3">
        <v>0.30199999999999999</v>
      </c>
      <c r="J32" s="3">
        <v>0.64700000000000002</v>
      </c>
      <c r="K32" s="3">
        <v>0.38700000000000001</v>
      </c>
      <c r="L32" s="3">
        <v>0.51400000000000001</v>
      </c>
      <c r="M32" s="3">
        <v>0.32200000000000001</v>
      </c>
      <c r="N32" s="3">
        <v>0.58899999999999997</v>
      </c>
      <c r="O32" s="3">
        <v>0.32800000000000001</v>
      </c>
      <c r="P32" s="3">
        <v>0.71899999999999997</v>
      </c>
      <c r="Q32" s="3">
        <v>0.44900000000000001</v>
      </c>
      <c r="R32" s="3">
        <v>0.64</v>
      </c>
      <c r="S32" s="3">
        <v>0.35</v>
      </c>
      <c r="T32" s="3">
        <v>0.64500000000000002</v>
      </c>
      <c r="U32" s="3">
        <v>0.39400000000000002</v>
      </c>
      <c r="V32" s="3">
        <v>0.626</v>
      </c>
      <c r="W32" s="3">
        <v>0.38200000000000001</v>
      </c>
      <c r="X32" s="3">
        <v>0.66</v>
      </c>
      <c r="Y32" s="3">
        <v>0.40799999999999997</v>
      </c>
      <c r="AF32" s="6">
        <v>0.432</v>
      </c>
      <c r="AG32" s="6">
        <v>0.45100000000000001</v>
      </c>
      <c r="AI32" s="6">
        <v>0.47</v>
      </c>
      <c r="AJ32" s="6">
        <v>0.45700000000000002</v>
      </c>
    </row>
    <row r="33" spans="1:36" ht="15.6" customHeight="1" x14ac:dyDescent="0.25">
      <c r="A33" s="6">
        <v>0.26400000000000001</v>
      </c>
      <c r="B33" s="6">
        <v>0.34</v>
      </c>
      <c r="E33" s="3"/>
      <c r="F33" s="3">
        <v>0.41399999999999998</v>
      </c>
      <c r="G33" s="3">
        <v>0.27600000000000002</v>
      </c>
      <c r="H33" s="3">
        <v>0.42799999999999999</v>
      </c>
      <c r="I33" s="3">
        <v>0.28199999999999997</v>
      </c>
      <c r="J33" s="3">
        <v>0.626</v>
      </c>
      <c r="K33" s="3">
        <v>0.378</v>
      </c>
      <c r="L33" s="3">
        <v>0.48099999999999998</v>
      </c>
      <c r="M33" s="3">
        <v>0.30399999999999999</v>
      </c>
      <c r="N33" s="3">
        <v>0.55000000000000004</v>
      </c>
      <c r="O33" s="3">
        <v>0.30399999999999999</v>
      </c>
      <c r="P33" s="3">
        <v>0.76</v>
      </c>
      <c r="Q33" s="3">
        <v>0.47299999999999998</v>
      </c>
      <c r="R33" s="3">
        <v>0.62</v>
      </c>
      <c r="S33" s="3">
        <v>0.33600000000000002</v>
      </c>
      <c r="T33" s="3">
        <v>0.625</v>
      </c>
      <c r="U33" s="3">
        <v>0.38300000000000001</v>
      </c>
      <c r="V33" s="3">
        <v>0.61</v>
      </c>
      <c r="W33" s="3">
        <v>0.376</v>
      </c>
      <c r="X33" s="3">
        <v>0.628</v>
      </c>
      <c r="Y33" s="3">
        <v>0.379</v>
      </c>
      <c r="AF33" s="6">
        <v>0.378</v>
      </c>
      <c r="AG33" s="6">
        <v>0.40600000000000003</v>
      </c>
      <c r="AI33" s="6">
        <v>0.43649999999999989</v>
      </c>
      <c r="AJ33" s="6">
        <v>0.43125000000000002</v>
      </c>
    </row>
    <row r="34" spans="1:36" ht="15.6" customHeight="1" x14ac:dyDescent="0.25">
      <c r="A34" s="6">
        <f>AVERAGE(A30:A33)</f>
        <v>0.2145</v>
      </c>
      <c r="B34" s="6">
        <f>AVERAGE(B30:B33)</f>
        <v>0.29975000000000002</v>
      </c>
      <c r="AF34" s="6">
        <v>0.223</v>
      </c>
      <c r="AG34" s="6">
        <v>0.29699999999999999</v>
      </c>
      <c r="AI34" s="6">
        <v>0.29099999999999998</v>
      </c>
      <c r="AJ34" s="6">
        <v>0.34200000000000003</v>
      </c>
    </row>
    <row r="35" spans="1:36" ht="15.6" customHeight="1" x14ac:dyDescent="0.25">
      <c r="A35" s="6">
        <v>9.0999999999999998E-2</v>
      </c>
      <c r="B35" s="6">
        <v>0.216</v>
      </c>
      <c r="E35" t="s">
        <v>29</v>
      </c>
      <c r="F35" s="3">
        <v>7.5999999999999998E-2</v>
      </c>
      <c r="G35" s="3">
        <v>0.18</v>
      </c>
      <c r="H35" s="3">
        <v>7.8E-2</v>
      </c>
      <c r="I35" s="3">
        <v>0.183</v>
      </c>
      <c r="J35" s="3">
        <v>0.13800000000000001</v>
      </c>
      <c r="K35" s="3">
        <v>0.252</v>
      </c>
      <c r="L35" s="3">
        <v>0.105</v>
      </c>
      <c r="M35" s="3">
        <v>0.224</v>
      </c>
      <c r="N35" s="3">
        <v>9.8000000000000004E-2</v>
      </c>
      <c r="O35" s="3">
        <v>0.218</v>
      </c>
      <c r="P35" s="3">
        <v>0.219</v>
      </c>
      <c r="Q35" s="3">
        <v>0.34</v>
      </c>
      <c r="R35" s="3">
        <v>8.6999999999999994E-2</v>
      </c>
      <c r="S35" s="3">
        <v>0.19500000000000001</v>
      </c>
      <c r="T35" s="3">
        <v>0.14799999999999999</v>
      </c>
      <c r="U35" s="3">
        <v>0.27200000000000002</v>
      </c>
      <c r="V35" s="3">
        <v>0.13800000000000001</v>
      </c>
      <c r="W35" s="3">
        <v>0.26200000000000001</v>
      </c>
      <c r="X35" s="3">
        <v>0.42399999999999999</v>
      </c>
      <c r="Y35" s="3">
        <v>0.49099999999999999</v>
      </c>
      <c r="AF35" s="6">
        <v>0.26700000000000002</v>
      </c>
      <c r="AG35" s="6">
        <v>0.32800000000000001</v>
      </c>
      <c r="AI35" s="6">
        <v>0.36799999999999999</v>
      </c>
      <c r="AJ35" s="6">
        <v>0.39200000000000002</v>
      </c>
    </row>
    <row r="36" spans="1:36" ht="15.6" customHeight="1" x14ac:dyDescent="0.25">
      <c r="A36" s="6">
        <v>0.189</v>
      </c>
      <c r="B36" s="6">
        <v>0.313</v>
      </c>
      <c r="F36" s="3">
        <v>8.4000000000000005E-2</v>
      </c>
      <c r="G36" s="3">
        <v>0.193</v>
      </c>
      <c r="H36" s="3">
        <v>9.5000000000000001E-2</v>
      </c>
      <c r="I36" s="3">
        <v>0.20499999999999999</v>
      </c>
      <c r="J36" s="3">
        <v>0.25800000000000001</v>
      </c>
      <c r="K36" s="3">
        <v>0.34799999999999998</v>
      </c>
      <c r="L36" s="3">
        <v>0.153</v>
      </c>
      <c r="M36" s="3">
        <v>0.27500000000000002</v>
      </c>
      <c r="N36" s="3">
        <v>0.13100000000000001</v>
      </c>
      <c r="O36" s="3">
        <v>0.25600000000000001</v>
      </c>
      <c r="P36" s="3">
        <v>0.29199999999999998</v>
      </c>
      <c r="Q36" s="3">
        <v>0.39800000000000002</v>
      </c>
      <c r="R36" s="3">
        <v>0.10299999999999999</v>
      </c>
      <c r="S36" s="3">
        <v>0.215</v>
      </c>
      <c r="T36" s="3">
        <v>0.224</v>
      </c>
      <c r="U36" s="3">
        <v>0.34</v>
      </c>
      <c r="V36" s="3">
        <v>0.17699999999999999</v>
      </c>
      <c r="W36" s="3">
        <v>0.29299999999999998</v>
      </c>
      <c r="X36" s="3">
        <v>0.45900000000000002</v>
      </c>
      <c r="Y36" s="3">
        <v>0.50900000000000001</v>
      </c>
      <c r="AF36" s="6">
        <v>0.30499999999999999</v>
      </c>
      <c r="AG36" s="6">
        <v>0.36</v>
      </c>
      <c r="AI36" s="6">
        <v>0.40699999999999997</v>
      </c>
      <c r="AJ36" s="6">
        <v>0.42399999999999999</v>
      </c>
    </row>
    <row r="37" spans="1:36" ht="15.6" customHeight="1" x14ac:dyDescent="0.25">
      <c r="A37" s="6">
        <v>0.33300000000000002</v>
      </c>
      <c r="B37" s="6">
        <v>0.42099999999999999</v>
      </c>
      <c r="F37" s="3">
        <v>0.115</v>
      </c>
      <c r="G37" s="3">
        <v>0.224</v>
      </c>
      <c r="H37" s="3">
        <v>0.12</v>
      </c>
      <c r="I37" s="3">
        <v>0.23300000000000001</v>
      </c>
      <c r="J37" s="3">
        <v>0.57199999999999995</v>
      </c>
      <c r="K37" s="3">
        <v>0.54400000000000004</v>
      </c>
      <c r="L37" s="3">
        <v>0.22900000000000001</v>
      </c>
      <c r="M37" s="3">
        <v>0.33900000000000002</v>
      </c>
      <c r="N37" s="3">
        <v>0.20499999999999999</v>
      </c>
      <c r="O37" s="3">
        <v>0.32600000000000001</v>
      </c>
      <c r="P37" s="3">
        <v>0.40899999999999997</v>
      </c>
      <c r="Q37" s="3">
        <v>0.47799999999999998</v>
      </c>
      <c r="R37" s="3">
        <v>0.13600000000000001</v>
      </c>
      <c r="S37" s="3">
        <v>0.25</v>
      </c>
      <c r="T37" s="3">
        <v>0.35499999999999998</v>
      </c>
      <c r="U37" s="3">
        <v>0.437</v>
      </c>
      <c r="V37" s="3">
        <v>0.27</v>
      </c>
      <c r="W37" s="3">
        <v>0.36799999999999999</v>
      </c>
      <c r="X37" s="3">
        <v>0.64600000000000002</v>
      </c>
      <c r="Y37" s="3">
        <v>0.61</v>
      </c>
      <c r="AF37" s="6">
        <v>0.377</v>
      </c>
      <c r="AG37" s="6">
        <v>0.41599999999999998</v>
      </c>
      <c r="AI37" s="6">
        <v>0.42099999999999999</v>
      </c>
      <c r="AJ37" s="6">
        <v>0.439</v>
      </c>
    </row>
    <row r="38" spans="1:36" ht="15.6" customHeight="1" x14ac:dyDescent="0.25">
      <c r="A38" s="6">
        <v>0.91600000000000004</v>
      </c>
      <c r="B38" s="6">
        <v>0.72899999999999998</v>
      </c>
      <c r="F38" s="3">
        <v>0.13700000000000001</v>
      </c>
      <c r="G38" s="3">
        <v>0.248</v>
      </c>
      <c r="H38" s="3">
        <v>0.15</v>
      </c>
      <c r="I38" s="3">
        <v>0.26200000000000001</v>
      </c>
      <c r="J38" s="3">
        <v>1.137</v>
      </c>
      <c r="K38" s="3">
        <v>0.82</v>
      </c>
      <c r="L38" s="3">
        <v>0.29099999999999998</v>
      </c>
      <c r="M38" s="3">
        <v>0.38900000000000001</v>
      </c>
      <c r="N38" s="3">
        <v>0.40200000000000002</v>
      </c>
      <c r="O38" s="3">
        <v>0.45700000000000002</v>
      </c>
      <c r="P38" s="3">
        <v>0.49199999999999999</v>
      </c>
      <c r="Q38" s="3">
        <v>0.53200000000000003</v>
      </c>
      <c r="R38" s="3">
        <v>0.19</v>
      </c>
      <c r="S38" s="3">
        <v>0.30299999999999999</v>
      </c>
      <c r="T38" s="3">
        <v>0.45200000000000001</v>
      </c>
      <c r="U38" s="3">
        <v>0.504</v>
      </c>
      <c r="V38" s="3">
        <v>0.34100000000000003</v>
      </c>
      <c r="W38" s="3">
        <v>0.42699999999999999</v>
      </c>
      <c r="X38" s="3">
        <v>0.91200000000000003</v>
      </c>
      <c r="Y38" s="3">
        <v>0.748</v>
      </c>
      <c r="AF38" s="6">
        <v>0.29299999999999998</v>
      </c>
      <c r="AG38" s="6">
        <v>0.35</v>
      </c>
      <c r="AI38" s="6">
        <v>0.37175000000000002</v>
      </c>
      <c r="AJ38" s="6">
        <v>0.39924999999999999</v>
      </c>
    </row>
    <row r="39" spans="1:36" ht="15.6" customHeight="1" x14ac:dyDescent="0.25">
      <c r="A39" s="6">
        <f>AVERAGE(A35:A38)</f>
        <v>0.38224999999999998</v>
      </c>
      <c r="B39" s="6">
        <f>AVERAGE(B35:B38)</f>
        <v>0.41974999999999996</v>
      </c>
      <c r="F39" s="3">
        <v>0.10299999999999999</v>
      </c>
      <c r="G39" s="3">
        <v>0.21099999999999999</v>
      </c>
      <c r="H39" s="3">
        <v>0.111</v>
      </c>
      <c r="I39" s="3">
        <v>0.221</v>
      </c>
      <c r="J39" s="3">
        <v>0.52600000000000002</v>
      </c>
      <c r="K39" s="3">
        <v>0.49099999999999999</v>
      </c>
      <c r="L39" s="3">
        <v>0.19500000000000001</v>
      </c>
      <c r="M39" s="3">
        <v>0.307</v>
      </c>
      <c r="N39" s="3">
        <v>0.20899999999999999</v>
      </c>
      <c r="O39" s="3">
        <v>0.314</v>
      </c>
      <c r="P39" s="3">
        <v>0.35299999999999998</v>
      </c>
      <c r="Q39" s="3">
        <v>0.437</v>
      </c>
      <c r="R39" s="3">
        <v>0.129</v>
      </c>
      <c r="S39" s="3">
        <v>0.24099999999999999</v>
      </c>
      <c r="T39" s="3">
        <v>0.29499999999999998</v>
      </c>
      <c r="U39" s="3">
        <v>0.38800000000000001</v>
      </c>
      <c r="V39" s="3">
        <v>0.23100000000000001</v>
      </c>
      <c r="W39" s="3">
        <v>0.33700000000000002</v>
      </c>
      <c r="X39" s="3">
        <v>0.61</v>
      </c>
      <c r="Y39" s="3">
        <v>0.59</v>
      </c>
      <c r="AF39" s="6">
        <v>0.125</v>
      </c>
      <c r="AG39" s="6">
        <v>0.215</v>
      </c>
      <c r="AI39" s="6">
        <v>0.14000000000000001</v>
      </c>
      <c r="AJ39" s="6">
        <v>0.23799999999999999</v>
      </c>
    </row>
    <row r="40" spans="1:36" ht="15.6" customHeight="1" x14ac:dyDescent="0.25">
      <c r="A40" s="6"/>
      <c r="B40" s="6"/>
      <c r="AF40" s="6">
        <v>0.13</v>
      </c>
      <c r="AG40" s="6">
        <v>0.22700000000000001</v>
      </c>
      <c r="AI40" s="6">
        <v>0.155</v>
      </c>
      <c r="AJ40" s="6">
        <v>0.253</v>
      </c>
    </row>
    <row r="41" spans="1:36" ht="15.6" customHeight="1" x14ac:dyDescent="0.25">
      <c r="A41" s="6"/>
      <c r="B41" s="6"/>
      <c r="E41" t="s">
        <v>23</v>
      </c>
      <c r="F41" s="3">
        <v>0.13900000000000001</v>
      </c>
      <c r="G41" s="3">
        <v>0.23499999999999999</v>
      </c>
      <c r="H41" s="3">
        <v>0.14799999999999999</v>
      </c>
      <c r="I41" s="3">
        <v>0.24</v>
      </c>
      <c r="J41" s="3">
        <v>0.20100000000000001</v>
      </c>
      <c r="K41" s="3">
        <v>0.28100000000000003</v>
      </c>
      <c r="L41" s="3">
        <v>0.18099999999999999</v>
      </c>
      <c r="M41" s="3">
        <v>0.27</v>
      </c>
      <c r="N41" s="3">
        <v>0.219</v>
      </c>
      <c r="O41" s="3">
        <v>0.314</v>
      </c>
      <c r="P41" s="3">
        <v>0.23699999999999999</v>
      </c>
      <c r="Q41" s="3">
        <v>0.32900000000000001</v>
      </c>
      <c r="R41" s="3">
        <v>0.16800000000000001</v>
      </c>
      <c r="S41" s="3">
        <v>0.27200000000000002</v>
      </c>
      <c r="T41" s="3">
        <v>0.19700000000000001</v>
      </c>
      <c r="U41" s="3">
        <v>0.28199999999999997</v>
      </c>
      <c r="V41" s="3">
        <v>0.193</v>
      </c>
      <c r="W41" s="3">
        <v>0.308</v>
      </c>
      <c r="X41" s="3">
        <v>0.20100000000000001</v>
      </c>
      <c r="Y41" s="3">
        <v>0.317</v>
      </c>
      <c r="AF41" s="6">
        <v>0.15</v>
      </c>
      <c r="AG41" s="6">
        <v>0.24099999999999999</v>
      </c>
      <c r="AI41" s="6">
        <v>0.17</v>
      </c>
      <c r="AJ41" s="6">
        <v>0.26900000000000002</v>
      </c>
    </row>
    <row r="42" spans="1:36" ht="15.6" customHeight="1" x14ac:dyDescent="0.25">
      <c r="A42" s="6"/>
      <c r="B42" s="6"/>
      <c r="F42" s="3">
        <v>0.159</v>
      </c>
      <c r="G42" s="3">
        <v>0.255</v>
      </c>
      <c r="H42" s="3">
        <v>0.16200000000000001</v>
      </c>
      <c r="I42" s="3">
        <v>0.253</v>
      </c>
      <c r="J42" s="3">
        <v>0.20100000000000001</v>
      </c>
      <c r="K42" s="3">
        <v>0.28299999999999997</v>
      </c>
      <c r="L42" s="3">
        <v>0.188</v>
      </c>
      <c r="M42" s="3">
        <v>0.27400000000000002</v>
      </c>
      <c r="N42" s="3">
        <v>0.23100000000000001</v>
      </c>
      <c r="O42" s="3">
        <v>0.32200000000000001</v>
      </c>
      <c r="P42" s="3">
        <v>0.23599999999999999</v>
      </c>
      <c r="Q42" s="3">
        <v>0.33</v>
      </c>
      <c r="R42" s="3">
        <v>0.184</v>
      </c>
      <c r="S42" s="3">
        <v>0.28899999999999998</v>
      </c>
      <c r="T42" s="3">
        <v>0.19600000000000001</v>
      </c>
      <c r="U42" s="3">
        <v>0.28499999999999998</v>
      </c>
      <c r="V42" s="3">
        <v>0.20100000000000001</v>
      </c>
      <c r="W42" s="3">
        <v>0.315</v>
      </c>
      <c r="X42" s="3">
        <v>0.222</v>
      </c>
      <c r="Y42" s="3">
        <v>0.33400000000000002</v>
      </c>
      <c r="AF42" s="6">
        <v>0.189</v>
      </c>
      <c r="AG42" s="6">
        <v>0.28000000000000003</v>
      </c>
      <c r="AI42" s="6">
        <v>0.19700000000000001</v>
      </c>
      <c r="AJ42" s="6">
        <v>0.29299999999999998</v>
      </c>
    </row>
    <row r="43" spans="1:36" ht="15.6" customHeight="1" x14ac:dyDescent="0.25">
      <c r="A43" s="6"/>
      <c r="B43" s="6"/>
      <c r="F43" s="3">
        <v>0.17599999999999999</v>
      </c>
      <c r="G43" s="3">
        <v>0.27200000000000002</v>
      </c>
      <c r="H43" s="3">
        <v>0.17799999999999999</v>
      </c>
      <c r="I43" s="3">
        <v>0.26900000000000002</v>
      </c>
      <c r="J43" s="3">
        <v>0.215</v>
      </c>
      <c r="K43" s="3">
        <v>0.29799999999999999</v>
      </c>
      <c r="L43" s="3">
        <v>0.20399999999999999</v>
      </c>
      <c r="M43" s="3">
        <v>0.29299999999999998</v>
      </c>
      <c r="N43" s="3">
        <v>0.246</v>
      </c>
      <c r="O43" s="3">
        <v>0.33700000000000002</v>
      </c>
      <c r="P43" s="3">
        <v>0.249</v>
      </c>
      <c r="Q43" s="3">
        <v>0.34399999999999997</v>
      </c>
      <c r="R43" s="3">
        <v>0.19800000000000001</v>
      </c>
      <c r="S43" s="3">
        <v>0.3</v>
      </c>
      <c r="T43" s="3">
        <v>0.20899999999999999</v>
      </c>
      <c r="U43" s="3">
        <v>0.30099999999999999</v>
      </c>
      <c r="V43" s="3">
        <v>0.214</v>
      </c>
      <c r="W43" s="3">
        <v>0.32900000000000001</v>
      </c>
      <c r="X43" s="3">
        <v>0.23100000000000001</v>
      </c>
      <c r="Y43" s="3">
        <v>0.33800000000000002</v>
      </c>
      <c r="AF43" s="6">
        <v>0.14899999999999999</v>
      </c>
      <c r="AG43" s="6">
        <v>0.24099999999999999</v>
      </c>
      <c r="AI43" s="6">
        <v>0.16550000000000001</v>
      </c>
      <c r="AJ43" s="6">
        <v>0.26324999999999998</v>
      </c>
    </row>
    <row r="44" spans="1:36" ht="15.6" customHeight="1" x14ac:dyDescent="0.25">
      <c r="A44" s="6"/>
      <c r="B44" s="6"/>
      <c r="F44" s="3">
        <v>0.20399999999999999</v>
      </c>
      <c r="G44" s="3">
        <v>0.29799999999999999</v>
      </c>
      <c r="H44" s="3">
        <v>0.22500000000000001</v>
      </c>
      <c r="I44" s="3">
        <v>0.317</v>
      </c>
      <c r="J44" s="3">
        <v>0.25700000000000001</v>
      </c>
      <c r="K44" s="3">
        <v>0.33100000000000002</v>
      </c>
      <c r="L44" s="3">
        <v>0.246</v>
      </c>
      <c r="M44" s="3">
        <v>0.32400000000000001</v>
      </c>
      <c r="N44" s="3">
        <v>0.28000000000000003</v>
      </c>
      <c r="O44" s="3">
        <v>0.36299999999999999</v>
      </c>
      <c r="P44" s="3">
        <v>0.28399999999999997</v>
      </c>
      <c r="Q44" s="3">
        <v>0.373</v>
      </c>
      <c r="R44" s="3">
        <v>0.22</v>
      </c>
      <c r="S44" s="3">
        <v>0.32</v>
      </c>
      <c r="T44" s="3">
        <v>0.245</v>
      </c>
      <c r="U44" s="3">
        <v>0.33300000000000002</v>
      </c>
      <c r="V44" s="3">
        <v>0.246</v>
      </c>
      <c r="W44" s="3">
        <v>0.35499999999999998</v>
      </c>
      <c r="X44" s="3">
        <v>0.254</v>
      </c>
      <c r="Y44" s="3">
        <v>0.36099999999999999</v>
      </c>
      <c r="AF44" s="6">
        <v>8.1000000000000003E-2</v>
      </c>
      <c r="AG44" s="6">
        <v>0.19700000000000001</v>
      </c>
      <c r="AI44" s="6">
        <v>8.3000000000000004E-2</v>
      </c>
      <c r="AJ44" s="6">
        <v>0.20200000000000001</v>
      </c>
    </row>
    <row r="45" spans="1:36" ht="15.6" customHeight="1" x14ac:dyDescent="0.25">
      <c r="A45" s="6">
        <v>0.23799999999999999</v>
      </c>
      <c r="B45" s="6">
        <v>0.27700000000000002</v>
      </c>
      <c r="F45" s="3">
        <v>0.17</v>
      </c>
      <c r="G45" s="3">
        <v>0.26500000000000001</v>
      </c>
      <c r="H45" s="3">
        <v>0.17799999999999999</v>
      </c>
      <c r="I45" s="3">
        <v>0.27</v>
      </c>
      <c r="J45" s="3">
        <v>0.219</v>
      </c>
      <c r="K45" s="3">
        <v>0.29799999999999999</v>
      </c>
      <c r="L45" s="3">
        <v>0.20499999999999999</v>
      </c>
      <c r="M45" s="3">
        <v>0.28999999999999998</v>
      </c>
      <c r="N45" s="3">
        <v>0.24399999999999999</v>
      </c>
      <c r="O45" s="3">
        <v>0.33400000000000002</v>
      </c>
      <c r="P45" s="3">
        <v>0.251</v>
      </c>
      <c r="Q45" s="3">
        <v>0.34399999999999997</v>
      </c>
      <c r="R45" s="3">
        <v>0.192</v>
      </c>
      <c r="S45" s="3">
        <v>0.29499999999999998</v>
      </c>
      <c r="T45" s="3">
        <v>0.21199999999999999</v>
      </c>
      <c r="U45" s="3">
        <v>0.3</v>
      </c>
      <c r="V45" s="3">
        <v>0.214</v>
      </c>
      <c r="W45" s="3">
        <v>0.32700000000000001</v>
      </c>
      <c r="X45" s="3">
        <v>0.22700000000000001</v>
      </c>
      <c r="Y45" s="3">
        <v>0.33800000000000002</v>
      </c>
      <c r="AF45" s="6">
        <v>0.17799999999999999</v>
      </c>
      <c r="AG45" s="6">
        <v>0.29799999999999999</v>
      </c>
      <c r="AI45" s="6">
        <v>0.17399999999999999</v>
      </c>
      <c r="AJ45" s="6">
        <v>0.29799999999999999</v>
      </c>
    </row>
    <row r="46" spans="1:36" ht="15.6" customHeight="1" x14ac:dyDescent="0.25">
      <c r="A46" s="6">
        <v>0.29899999999999999</v>
      </c>
      <c r="B46" s="6">
        <v>0.31900000000000001</v>
      </c>
      <c r="AF46" s="6">
        <v>0.34300000000000003</v>
      </c>
      <c r="AG46" s="6">
        <v>0.42099999999999999</v>
      </c>
      <c r="AI46" s="6">
        <v>0.34899999999999998</v>
      </c>
      <c r="AJ46" s="6">
        <v>0.42799999999999999</v>
      </c>
    </row>
    <row r="47" spans="1:36" ht="15.6" customHeight="1" x14ac:dyDescent="0.3">
      <c r="A47" s="6">
        <v>0.31</v>
      </c>
      <c r="B47" s="6">
        <v>0.32700000000000001</v>
      </c>
      <c r="E47" s="19" t="s">
        <v>2</v>
      </c>
      <c r="F47" s="34"/>
      <c r="G47" s="18" t="s">
        <v>59</v>
      </c>
      <c r="H47" s="34"/>
      <c r="J47" s="7"/>
      <c r="K47" s="7"/>
      <c r="L47" s="13" t="s">
        <v>60</v>
      </c>
      <c r="M47" s="34"/>
      <c r="O47" s="8"/>
      <c r="P47" s="8"/>
      <c r="Q47" s="12" t="s">
        <v>56</v>
      </c>
      <c r="R47" s="34"/>
      <c r="T47" s="19" t="s">
        <v>2</v>
      </c>
      <c r="U47" s="34"/>
      <c r="V47" s="18" t="s">
        <v>57</v>
      </c>
      <c r="W47" s="34"/>
      <c r="Y47" s="20" t="s">
        <v>61</v>
      </c>
      <c r="Z47" s="34"/>
      <c r="AA47" s="20" t="s">
        <v>62</v>
      </c>
      <c r="AB47" s="34"/>
      <c r="AC47" s="20" t="s">
        <v>63</v>
      </c>
      <c r="AD47" s="34"/>
      <c r="AF47" s="6">
        <v>0.876</v>
      </c>
      <c r="AG47" s="6">
        <v>0.70399999999999996</v>
      </c>
      <c r="AI47" s="6">
        <v>0.84699999999999998</v>
      </c>
      <c r="AJ47" s="6">
        <v>0.69199999999999995</v>
      </c>
    </row>
    <row r="48" spans="1:36" ht="15.6" customHeight="1" x14ac:dyDescent="0.3">
      <c r="A48" s="6">
        <v>0.31</v>
      </c>
      <c r="B48" s="6">
        <v>0.33</v>
      </c>
      <c r="E48" s="19" t="s">
        <v>15</v>
      </c>
      <c r="F48" s="34"/>
      <c r="G48" s="4" t="s">
        <v>16</v>
      </c>
      <c r="H48" s="4" t="s">
        <v>17</v>
      </c>
      <c r="J48" s="8" t="s">
        <v>34</v>
      </c>
      <c r="K48" s="8" t="s">
        <v>64</v>
      </c>
      <c r="L48" s="8" t="s">
        <v>16</v>
      </c>
      <c r="M48" s="8" t="s">
        <v>17</v>
      </c>
      <c r="O48" s="10" t="s">
        <v>34</v>
      </c>
      <c r="P48" s="10" t="s">
        <v>65</v>
      </c>
      <c r="Q48" s="10" t="s">
        <v>16</v>
      </c>
      <c r="R48" s="10" t="s">
        <v>17</v>
      </c>
      <c r="T48" s="19" t="s">
        <v>15</v>
      </c>
      <c r="U48" s="34"/>
      <c r="V48" s="4" t="s">
        <v>16</v>
      </c>
      <c r="W48" s="4" t="s">
        <v>17</v>
      </c>
      <c r="Y48" s="21" t="s">
        <v>16</v>
      </c>
      <c r="Z48" s="21" t="s">
        <v>17</v>
      </c>
      <c r="AA48" s="21" t="s">
        <v>16</v>
      </c>
      <c r="AB48" s="21" t="s">
        <v>17</v>
      </c>
      <c r="AC48" s="21" t="s">
        <v>16</v>
      </c>
      <c r="AD48" s="21" t="s">
        <v>17</v>
      </c>
      <c r="AF48" s="6">
        <v>0.37</v>
      </c>
      <c r="AG48" s="6">
        <v>0.40500000000000003</v>
      </c>
      <c r="AI48" s="6">
        <v>0.36299999999999999</v>
      </c>
      <c r="AJ48" s="6">
        <v>0.40500000000000003</v>
      </c>
    </row>
    <row r="49" spans="1:36" ht="15.6" customHeight="1" x14ac:dyDescent="0.25">
      <c r="A49" s="6">
        <f>AVERAGE(A45:A48)</f>
        <v>0.28925000000000001</v>
      </c>
      <c r="B49" s="6">
        <f>AVERAGE(B45:B48)</f>
        <v>0.31325000000000003</v>
      </c>
      <c r="E49" s="19" t="s">
        <v>18</v>
      </c>
      <c r="F49" s="4">
        <v>96</v>
      </c>
      <c r="G49" s="5">
        <v>5.3650088608264923E-2</v>
      </c>
      <c r="H49" s="5">
        <v>0.180741623044014</v>
      </c>
      <c r="J49" s="19" t="s">
        <v>18</v>
      </c>
      <c r="K49" s="4">
        <v>96</v>
      </c>
      <c r="L49" s="5">
        <v>0.308</v>
      </c>
      <c r="M49" s="5">
        <v>0.34499999999999997</v>
      </c>
      <c r="O49" s="19" t="s">
        <v>18</v>
      </c>
      <c r="P49" s="4">
        <v>96</v>
      </c>
      <c r="Q49" s="5">
        <v>0.27700000000000002</v>
      </c>
      <c r="R49" s="5">
        <v>0.33100000000000002</v>
      </c>
      <c r="T49" s="19" t="s">
        <v>18</v>
      </c>
      <c r="U49" s="4">
        <v>96</v>
      </c>
      <c r="V49" s="5">
        <v>0.32</v>
      </c>
      <c r="W49" s="5">
        <v>0.36</v>
      </c>
      <c r="Y49" s="6">
        <v>0.34499999999999997</v>
      </c>
      <c r="Z49" s="6">
        <v>0.372</v>
      </c>
      <c r="AA49" s="6">
        <v>0.379</v>
      </c>
      <c r="AB49" s="6">
        <v>0.41899999999999998</v>
      </c>
      <c r="AC49" s="6">
        <v>0.505</v>
      </c>
      <c r="AD49" s="6">
        <v>0.47499999999999998</v>
      </c>
      <c r="AF49" s="6">
        <v>0.14399999999999999</v>
      </c>
      <c r="AG49" s="6">
        <v>0.18</v>
      </c>
      <c r="AI49" s="6">
        <v>0.159</v>
      </c>
      <c r="AJ49" s="6">
        <v>0.20499999999999999</v>
      </c>
    </row>
    <row r="50" spans="1:36" ht="15.6" customHeight="1" x14ac:dyDescent="0.25">
      <c r="A50" s="6">
        <v>9.9000000000000005E-2</v>
      </c>
      <c r="B50" s="6">
        <v>0.214</v>
      </c>
      <c r="E50" s="32"/>
      <c r="F50" s="4">
        <v>192</v>
      </c>
      <c r="G50" s="5">
        <v>6.9298960268497467E-2</v>
      </c>
      <c r="H50" s="5">
        <v>0.1876571178436279</v>
      </c>
      <c r="J50" s="32"/>
      <c r="K50" s="4">
        <v>192</v>
      </c>
      <c r="L50" s="5">
        <v>0.35199999999999998</v>
      </c>
      <c r="M50" s="5">
        <v>0.36</v>
      </c>
      <c r="O50" s="32"/>
      <c r="P50" s="4">
        <v>192</v>
      </c>
      <c r="Q50" s="5">
        <v>0.31</v>
      </c>
      <c r="R50" s="5">
        <v>0.35199999999999998</v>
      </c>
      <c r="T50" s="32"/>
      <c r="U50" s="4">
        <v>192</v>
      </c>
      <c r="V50" s="5">
        <v>0.36099999999999999</v>
      </c>
      <c r="W50" s="5">
        <v>0.38300000000000001</v>
      </c>
      <c r="Y50" s="6">
        <v>0.38</v>
      </c>
      <c r="Z50" s="6">
        <v>0.38900000000000001</v>
      </c>
      <c r="AA50" s="6">
        <v>0.42599999999999999</v>
      </c>
      <c r="AB50" s="6">
        <v>0.441</v>
      </c>
      <c r="AC50" s="6">
        <v>0.55300000000000005</v>
      </c>
      <c r="AD50" s="6">
        <v>0.496</v>
      </c>
      <c r="AF50" s="6">
        <v>0.188</v>
      </c>
      <c r="AG50" s="6">
        <v>0.223</v>
      </c>
      <c r="AI50" s="6">
        <v>0.20499999999999999</v>
      </c>
      <c r="AJ50" s="6">
        <v>0.249</v>
      </c>
    </row>
    <row r="51" spans="1:36" ht="15.6" customHeight="1" x14ac:dyDescent="0.25">
      <c r="A51" s="6">
        <v>0.16900000000000001</v>
      </c>
      <c r="B51" s="6">
        <v>0.27700000000000002</v>
      </c>
      <c r="E51" s="32"/>
      <c r="F51" s="4">
        <v>336</v>
      </c>
      <c r="G51" s="5">
        <v>0.60931336879730225</v>
      </c>
      <c r="H51" s="5">
        <v>0.43093863129615778</v>
      </c>
      <c r="J51" s="32"/>
      <c r="K51" s="4">
        <v>336</v>
      </c>
      <c r="L51" s="5">
        <v>0.38500000000000001</v>
      </c>
      <c r="M51" s="5">
        <v>0.38100000000000001</v>
      </c>
      <c r="O51" s="32"/>
      <c r="P51" s="4">
        <v>336</v>
      </c>
      <c r="Q51" s="5">
        <v>0.34799999999999998</v>
      </c>
      <c r="R51" s="5">
        <v>0.372</v>
      </c>
      <c r="T51" s="32"/>
      <c r="U51" s="4">
        <v>336</v>
      </c>
      <c r="V51" s="5">
        <v>0.38600000000000001</v>
      </c>
      <c r="W51" s="5">
        <v>0.40200000000000002</v>
      </c>
      <c r="Y51" s="6">
        <v>0.41299999999999998</v>
      </c>
      <c r="Z51" s="6">
        <v>0.41299999999999998</v>
      </c>
      <c r="AA51" s="6">
        <v>0.44500000000000001</v>
      </c>
      <c r="AB51" s="6">
        <v>0.45900000000000002</v>
      </c>
      <c r="AC51" s="6">
        <v>0.621</v>
      </c>
      <c r="AD51" s="6">
        <v>0.53700000000000003</v>
      </c>
      <c r="AF51" s="6">
        <v>0.22</v>
      </c>
      <c r="AG51" s="6">
        <v>0.25700000000000001</v>
      </c>
      <c r="AI51" s="6">
        <v>0.26400000000000001</v>
      </c>
      <c r="AJ51" s="6">
        <v>0.29099999999999998</v>
      </c>
    </row>
    <row r="52" spans="1:36" ht="15.6" customHeight="1" x14ac:dyDescent="0.25">
      <c r="A52" s="6">
        <v>0.27400000000000002</v>
      </c>
      <c r="B52" s="6">
        <v>0.36</v>
      </c>
      <c r="E52" s="32"/>
      <c r="F52" s="4">
        <v>720</v>
      </c>
      <c r="G52" s="5">
        <v>0.49600645899772638</v>
      </c>
      <c r="H52" s="5">
        <v>0.43723961710929871</v>
      </c>
      <c r="J52" s="32"/>
      <c r="K52" s="4">
        <v>720</v>
      </c>
      <c r="L52" s="5">
        <v>0.439</v>
      </c>
      <c r="M52" s="5">
        <v>0.43099999999999999</v>
      </c>
      <c r="O52" s="32"/>
      <c r="P52" s="4">
        <v>720</v>
      </c>
      <c r="Q52" s="5">
        <v>0.41099999999999998</v>
      </c>
      <c r="R52" s="5">
        <v>0.40400000000000003</v>
      </c>
      <c r="T52" s="32"/>
      <c r="U52" s="4">
        <v>720</v>
      </c>
      <c r="V52" s="5">
        <v>0.44500000000000001</v>
      </c>
      <c r="W52" s="5">
        <v>0.437</v>
      </c>
      <c r="Y52" s="6">
        <v>0.47399999999999998</v>
      </c>
      <c r="Z52" s="6">
        <v>0.45300000000000001</v>
      </c>
      <c r="AA52" s="6">
        <v>0.54300000000000004</v>
      </c>
      <c r="AB52" s="6">
        <v>0.49</v>
      </c>
      <c r="AC52" s="6">
        <v>0.67100000000000004</v>
      </c>
      <c r="AD52" s="6">
        <v>0.56100000000000005</v>
      </c>
      <c r="AF52" s="6">
        <v>0.29399999999999998</v>
      </c>
      <c r="AG52" s="6">
        <v>0.31</v>
      </c>
      <c r="AI52" s="6">
        <v>0.34300000000000003</v>
      </c>
      <c r="AJ52" s="6">
        <v>0.34399999999999997</v>
      </c>
    </row>
    <row r="53" spans="1:36" ht="15.6" customHeight="1" x14ac:dyDescent="0.25">
      <c r="A53" s="6">
        <v>0.52200000000000002</v>
      </c>
      <c r="B53" s="6">
        <v>0.499</v>
      </c>
      <c r="E53" s="33"/>
      <c r="F53" s="4" t="s">
        <v>19</v>
      </c>
      <c r="G53" s="5">
        <v>0.30706721916794782</v>
      </c>
      <c r="H53" s="5">
        <v>0.30914424732327461</v>
      </c>
      <c r="J53" s="33"/>
      <c r="K53" s="4" t="s">
        <v>19</v>
      </c>
      <c r="L53" s="5">
        <v>0.371</v>
      </c>
      <c r="M53" s="5">
        <v>0.379</v>
      </c>
      <c r="O53" s="33"/>
      <c r="P53" s="4" t="s">
        <v>19</v>
      </c>
      <c r="Q53" s="5">
        <v>0.33700000000000002</v>
      </c>
      <c r="R53" s="5">
        <v>0.36499999999999999</v>
      </c>
      <c r="T53" s="33"/>
      <c r="U53" s="4"/>
      <c r="V53" s="5"/>
      <c r="W53" s="5"/>
      <c r="Y53" s="6">
        <f t="shared" ref="Y53:AD53" si="1">AVERAGE(Y49:Y52)</f>
        <v>0.40299999999999997</v>
      </c>
      <c r="Z53" s="6">
        <f t="shared" si="1"/>
        <v>0.40675</v>
      </c>
      <c r="AA53" s="6">
        <f t="shared" si="1"/>
        <v>0.44825000000000004</v>
      </c>
      <c r="AB53" s="6">
        <f t="shared" si="1"/>
        <v>0.45224999999999999</v>
      </c>
      <c r="AC53" s="6">
        <f t="shared" si="1"/>
        <v>0.58750000000000002</v>
      </c>
      <c r="AD53" s="6">
        <f t="shared" si="1"/>
        <v>0.51724999999999999</v>
      </c>
      <c r="AF53" s="6">
        <v>0.21199999999999999</v>
      </c>
      <c r="AG53" s="6">
        <v>0.24299999999999999</v>
      </c>
      <c r="AI53" s="6">
        <v>0.24274999999999999</v>
      </c>
      <c r="AJ53" s="6">
        <v>0.27224999999999999</v>
      </c>
    </row>
    <row r="54" spans="1:36" ht="15.6" customHeight="1" x14ac:dyDescent="0.25">
      <c r="A54" s="6">
        <f>AVERAGE(A50:A53)</f>
        <v>0.26600000000000001</v>
      </c>
      <c r="B54" s="6">
        <f>AVERAGE(B50:B53)</f>
        <v>0.33750000000000002</v>
      </c>
      <c r="E54" s="19" t="s">
        <v>20</v>
      </c>
      <c r="F54" s="4">
        <v>96</v>
      </c>
      <c r="G54" s="9">
        <v>6.4318574965000153E-2</v>
      </c>
      <c r="H54" s="9">
        <v>0.18229715526103971</v>
      </c>
      <c r="J54" s="19" t="s">
        <v>20</v>
      </c>
      <c r="K54" s="4">
        <v>96</v>
      </c>
      <c r="L54" s="9">
        <v>0.161</v>
      </c>
      <c r="M54" s="9">
        <v>0.24299999999999999</v>
      </c>
      <c r="O54" s="19" t="s">
        <v>20</v>
      </c>
      <c r="P54" s="4">
        <v>96</v>
      </c>
      <c r="Q54" s="5">
        <v>0.14899999999999999</v>
      </c>
      <c r="R54" s="5">
        <v>0.23699999999999999</v>
      </c>
      <c r="T54" s="19" t="s">
        <v>20</v>
      </c>
      <c r="U54" s="4">
        <v>96</v>
      </c>
      <c r="V54" s="5">
        <v>0.17599999999999999</v>
      </c>
      <c r="W54" s="5">
        <v>0.26300000000000001</v>
      </c>
      <c r="Y54" s="6">
        <v>0.193</v>
      </c>
      <c r="Z54" s="6">
        <v>0.29199999999999998</v>
      </c>
      <c r="AA54" s="6">
        <v>0.20300000000000001</v>
      </c>
      <c r="AB54" s="6">
        <v>0.28699999999999998</v>
      </c>
      <c r="AC54" s="6">
        <v>0.255</v>
      </c>
      <c r="AD54" s="6">
        <v>0.33900000000000002</v>
      </c>
      <c r="AF54" s="6">
        <v>0.29499999999999998</v>
      </c>
      <c r="AG54" s="6">
        <v>0.26800000000000002</v>
      </c>
      <c r="AI54" s="6">
        <v>0.184</v>
      </c>
      <c r="AJ54" s="6">
        <v>0.222</v>
      </c>
    </row>
    <row r="55" spans="1:36" ht="15.6" customHeight="1" x14ac:dyDescent="0.25">
      <c r="A55" s="6">
        <v>0.11</v>
      </c>
      <c r="B55" s="6">
        <v>0.22600000000000001</v>
      </c>
      <c r="E55" s="32"/>
      <c r="F55" s="4">
        <v>192</v>
      </c>
      <c r="G55" s="5">
        <v>7.5332418084144592E-2</v>
      </c>
      <c r="H55" s="5">
        <v>0.19979624450206759</v>
      </c>
      <c r="J55" s="32"/>
      <c r="K55" s="4">
        <v>192</v>
      </c>
      <c r="L55" s="5">
        <v>0.23100000000000001</v>
      </c>
      <c r="M55" s="5">
        <v>0.28699999999999998</v>
      </c>
      <c r="O55" s="32"/>
      <c r="P55" s="4">
        <v>192</v>
      </c>
      <c r="Q55" s="5">
        <v>0.20799999999999999</v>
      </c>
      <c r="R55" s="5">
        <v>0.27700000000000002</v>
      </c>
      <c r="T55" s="32"/>
      <c r="U55" s="4">
        <v>192</v>
      </c>
      <c r="V55" s="5">
        <v>0.24199999999999999</v>
      </c>
      <c r="W55" s="5">
        <v>0.30399999999999999</v>
      </c>
      <c r="Y55" s="6">
        <v>0.28399999999999997</v>
      </c>
      <c r="Z55" s="6">
        <v>0.36199999999999999</v>
      </c>
      <c r="AA55" s="6">
        <v>0.26900000000000002</v>
      </c>
      <c r="AB55" s="6">
        <v>0.32800000000000001</v>
      </c>
      <c r="AC55" s="6">
        <v>0.28100000000000003</v>
      </c>
      <c r="AD55" s="6">
        <v>0.34</v>
      </c>
      <c r="AF55" s="6">
        <v>0.33</v>
      </c>
      <c r="AG55" s="6">
        <v>0.28599999999999998</v>
      </c>
      <c r="AI55" s="6">
        <v>0.22500000000000001</v>
      </c>
      <c r="AJ55" s="6">
        <v>0.254</v>
      </c>
    </row>
    <row r="56" spans="1:36" ht="15.6" customHeight="1" x14ac:dyDescent="0.25">
      <c r="A56" s="6">
        <v>0.161</v>
      </c>
      <c r="B56" s="6">
        <v>0.27500000000000002</v>
      </c>
      <c r="E56" s="32"/>
      <c r="F56" s="4">
        <v>336</v>
      </c>
      <c r="G56" s="5">
        <v>0.1128872185945511</v>
      </c>
      <c r="H56" s="5">
        <v>0.2352741211652756</v>
      </c>
      <c r="J56" s="32"/>
      <c r="K56" s="4">
        <v>336</v>
      </c>
      <c r="L56" s="5">
        <v>0.28299999999999997</v>
      </c>
      <c r="M56" s="5">
        <v>0.32200000000000001</v>
      </c>
      <c r="O56" s="32"/>
      <c r="P56" s="4">
        <v>336</v>
      </c>
      <c r="Q56" s="5">
        <v>0.26300000000000001</v>
      </c>
      <c r="R56" s="5">
        <v>0.314</v>
      </c>
      <c r="T56" s="32"/>
      <c r="U56" s="4">
        <v>336</v>
      </c>
      <c r="V56" s="5">
        <v>0.30399999999999999</v>
      </c>
      <c r="W56" s="5">
        <v>0.34399999999999997</v>
      </c>
      <c r="Y56" s="6">
        <v>0.36899999999999999</v>
      </c>
      <c r="Z56" s="6">
        <v>0.42699999999999999</v>
      </c>
      <c r="AA56" s="6">
        <v>0.32500000000000001</v>
      </c>
      <c r="AB56" s="6">
        <v>0.36599999999999999</v>
      </c>
      <c r="AC56" s="6">
        <v>0.33900000000000002</v>
      </c>
      <c r="AD56" s="6">
        <v>0.372</v>
      </c>
      <c r="AF56" s="6">
        <v>0.34899999999999998</v>
      </c>
      <c r="AG56" s="6">
        <v>0.29499999999999998</v>
      </c>
      <c r="AI56" s="6">
        <v>0.249</v>
      </c>
      <c r="AJ56" s="6">
        <v>0.27</v>
      </c>
    </row>
    <row r="57" spans="1:36" ht="15.6" customHeight="1" x14ac:dyDescent="0.25">
      <c r="A57" s="6">
        <v>0.34499999999999997</v>
      </c>
      <c r="B57" s="6">
        <v>0.40300000000000002</v>
      </c>
      <c r="E57" s="32"/>
      <c r="F57" s="4">
        <v>720</v>
      </c>
      <c r="G57" s="5">
        <v>0.54914385080337524</v>
      </c>
      <c r="H57" s="5">
        <v>0.48874568939208979</v>
      </c>
      <c r="J57" s="32"/>
      <c r="K57" s="4">
        <v>720</v>
      </c>
      <c r="L57" s="5">
        <v>0.38600000000000001</v>
      </c>
      <c r="M57" s="5">
        <v>0.38400000000000001</v>
      </c>
      <c r="O57" s="32"/>
      <c r="P57" s="4">
        <v>720</v>
      </c>
      <c r="Q57" s="5">
        <v>0.33600000000000002</v>
      </c>
      <c r="R57" s="5">
        <v>0.36199999999999999</v>
      </c>
      <c r="T57" s="32"/>
      <c r="U57" s="4">
        <v>720</v>
      </c>
      <c r="V57" s="5">
        <v>0.40200000000000002</v>
      </c>
      <c r="W57" s="5">
        <v>0.40200000000000002</v>
      </c>
      <c r="Y57" s="6">
        <v>0.55400000000000005</v>
      </c>
      <c r="Z57" s="6">
        <v>0.52200000000000002</v>
      </c>
      <c r="AA57" s="6">
        <v>0.42099999999999999</v>
      </c>
      <c r="AB57" s="6">
        <v>0.41499999999999998</v>
      </c>
      <c r="AC57" s="6">
        <v>0.433</v>
      </c>
      <c r="AD57" s="6">
        <v>0.432</v>
      </c>
      <c r="AF57" s="6">
        <v>0.33900000000000002</v>
      </c>
      <c r="AG57" s="6">
        <v>0.28599999999999998</v>
      </c>
      <c r="AI57" s="6">
        <v>0.25</v>
      </c>
      <c r="AJ57" s="6">
        <v>0.27300000000000002</v>
      </c>
    </row>
    <row r="58" spans="1:36" ht="15.6" customHeight="1" x14ac:dyDescent="0.25">
      <c r="A58" s="6">
        <v>0.58799999999999997</v>
      </c>
      <c r="B58" s="6">
        <v>0.55300000000000005</v>
      </c>
      <c r="E58" s="33"/>
      <c r="F58" s="4" t="s">
        <v>19</v>
      </c>
      <c r="G58" s="5">
        <v>0.2004205156117678</v>
      </c>
      <c r="H58" s="5">
        <v>0.27652830258011818</v>
      </c>
      <c r="J58" s="33"/>
      <c r="K58" s="4" t="s">
        <v>19</v>
      </c>
      <c r="L58" s="5">
        <v>0.26500000000000001</v>
      </c>
      <c r="M58" s="5">
        <v>0.309</v>
      </c>
      <c r="O58" s="33"/>
      <c r="P58" s="4" t="s">
        <v>19</v>
      </c>
      <c r="Q58" s="5">
        <v>0.23899999999999999</v>
      </c>
      <c r="R58" s="5">
        <v>0.29799999999999999</v>
      </c>
      <c r="T58" s="33"/>
      <c r="U58" s="4"/>
      <c r="V58" s="5"/>
      <c r="W58" s="5"/>
      <c r="Y58" s="6">
        <f t="shared" ref="Y58:AD58" si="2">AVERAGE(Y54:Y57)</f>
        <v>0.35</v>
      </c>
      <c r="Z58" s="6">
        <f t="shared" si="2"/>
        <v>0.40075</v>
      </c>
      <c r="AA58" s="6">
        <f t="shared" si="2"/>
        <v>0.30449999999999999</v>
      </c>
      <c r="AB58" s="6">
        <f t="shared" si="2"/>
        <v>0.34899999999999998</v>
      </c>
      <c r="AC58" s="6">
        <f t="shared" si="2"/>
        <v>0.32700000000000001</v>
      </c>
      <c r="AD58" s="6">
        <f t="shared" si="2"/>
        <v>0.37075000000000002</v>
      </c>
      <c r="AF58" s="6">
        <v>0.32800000000000001</v>
      </c>
      <c r="AG58" s="6">
        <v>0.28399999999999997</v>
      </c>
      <c r="AI58" s="6">
        <v>0.22700000000000001</v>
      </c>
      <c r="AJ58" s="6">
        <v>0.25474999999999998</v>
      </c>
    </row>
    <row r="59" spans="1:36" ht="15.6" customHeight="1" x14ac:dyDescent="0.25">
      <c r="A59" s="6">
        <f>AVERAGE(A55:A58)</f>
        <v>0.30099999999999999</v>
      </c>
      <c r="B59" s="6">
        <f>AVERAGE(B55:B58)</f>
        <v>0.36425000000000002</v>
      </c>
      <c r="E59" s="19" t="s">
        <v>21</v>
      </c>
      <c r="F59" s="4">
        <v>96</v>
      </c>
      <c r="G59" s="5">
        <v>0.37607401609420799</v>
      </c>
      <c r="H59" s="5">
        <v>0.36030668020248408</v>
      </c>
      <c r="J59" s="19" t="s">
        <v>21</v>
      </c>
      <c r="K59" s="4">
        <v>96</v>
      </c>
      <c r="L59" s="5">
        <v>0.36799999999999999</v>
      </c>
      <c r="M59" s="5">
        <v>0.38700000000000001</v>
      </c>
      <c r="O59" s="19" t="s">
        <v>21</v>
      </c>
      <c r="P59" s="4">
        <v>96</v>
      </c>
      <c r="Q59" s="5">
        <v>0.33800000000000002</v>
      </c>
      <c r="R59" s="5">
        <v>0.374</v>
      </c>
      <c r="T59" s="19" t="s">
        <v>21</v>
      </c>
      <c r="U59" s="4">
        <v>96</v>
      </c>
      <c r="V59" s="5">
        <v>0.378</v>
      </c>
      <c r="W59" s="5">
        <v>0.39500000000000002</v>
      </c>
      <c r="Y59" s="6">
        <v>0.38600000000000001</v>
      </c>
      <c r="Z59" s="6">
        <v>0.4</v>
      </c>
      <c r="AA59" s="6">
        <v>0.376</v>
      </c>
      <c r="AB59" s="6">
        <v>0.41899999999999998</v>
      </c>
      <c r="AC59" s="6">
        <v>0.44900000000000001</v>
      </c>
      <c r="AD59" s="6">
        <v>0.45900000000000002</v>
      </c>
      <c r="AF59" s="6">
        <v>0.36399999999999999</v>
      </c>
      <c r="AG59" s="6">
        <v>0.22900000000000001</v>
      </c>
      <c r="AI59" s="6">
        <v>0.375</v>
      </c>
      <c r="AJ59" s="6">
        <v>0.25800000000000001</v>
      </c>
    </row>
    <row r="60" spans="1:36" ht="15.6" customHeight="1" x14ac:dyDescent="0.25">
      <c r="E60" s="32"/>
      <c r="F60" s="4">
        <v>192</v>
      </c>
      <c r="G60" s="5">
        <v>0.40506711602210999</v>
      </c>
      <c r="H60" s="5">
        <v>0.36330884695053101</v>
      </c>
      <c r="J60" s="32"/>
      <c r="K60" s="4">
        <v>192</v>
      </c>
      <c r="L60" s="5">
        <v>0.42599999999999999</v>
      </c>
      <c r="M60" s="5">
        <v>0.42299999999999999</v>
      </c>
      <c r="O60" s="32"/>
      <c r="P60" s="4">
        <v>192</v>
      </c>
      <c r="Q60" s="5">
        <v>0.36199999999999999</v>
      </c>
      <c r="R60" s="5">
        <v>0.39100000000000001</v>
      </c>
      <c r="T60" s="32"/>
      <c r="U60" s="4">
        <v>192</v>
      </c>
      <c r="V60" s="5">
        <v>0.42699999999999999</v>
      </c>
      <c r="W60" s="5">
        <v>0.42799999999999999</v>
      </c>
      <c r="Y60" s="6">
        <v>0.437</v>
      </c>
      <c r="Z60" s="6">
        <v>0.432</v>
      </c>
      <c r="AA60" s="6">
        <v>0.42</v>
      </c>
      <c r="AB60" s="6">
        <v>0.44800000000000001</v>
      </c>
      <c r="AC60" s="6">
        <v>0.5</v>
      </c>
      <c r="AD60" s="6">
        <v>0.48199999999999998</v>
      </c>
      <c r="AF60" s="6">
        <v>0.377</v>
      </c>
      <c r="AG60" s="6">
        <v>0.23899999999999999</v>
      </c>
      <c r="AI60" s="6">
        <v>0.39400000000000002</v>
      </c>
      <c r="AJ60" s="6">
        <v>0.26900000000000002</v>
      </c>
    </row>
    <row r="61" spans="1:36" ht="15.6" customHeight="1" x14ac:dyDescent="0.25">
      <c r="E61" s="32"/>
      <c r="F61" s="4">
        <v>336</v>
      </c>
      <c r="G61" s="5">
        <v>0.59581053256988525</v>
      </c>
      <c r="H61" s="5">
        <v>0.56552362442016602</v>
      </c>
      <c r="J61" s="32"/>
      <c r="K61" s="4">
        <v>336</v>
      </c>
      <c r="L61" s="5">
        <v>0.47</v>
      </c>
      <c r="M61" s="5">
        <v>0.44</v>
      </c>
      <c r="O61" s="32"/>
      <c r="P61" s="4">
        <v>336</v>
      </c>
      <c r="Q61" s="5">
        <v>0.378</v>
      </c>
      <c r="R61" s="5">
        <v>0.40600000000000003</v>
      </c>
      <c r="T61" s="32"/>
      <c r="U61" s="4">
        <v>336</v>
      </c>
      <c r="V61" s="5">
        <v>0.47099999999999997</v>
      </c>
      <c r="W61" s="5">
        <v>0.44500000000000001</v>
      </c>
      <c r="Y61" s="6">
        <v>0.48099999999999998</v>
      </c>
      <c r="Z61" s="6">
        <v>0.45900000000000002</v>
      </c>
      <c r="AA61" s="6">
        <v>0.45900000000000002</v>
      </c>
      <c r="AB61" s="6">
        <v>0.46500000000000002</v>
      </c>
      <c r="AC61" s="6">
        <v>0.52100000000000002</v>
      </c>
      <c r="AD61" s="6">
        <v>0.496</v>
      </c>
      <c r="AF61" s="6">
        <v>0.38900000000000001</v>
      </c>
      <c r="AG61" s="6">
        <v>0.24</v>
      </c>
      <c r="AI61" s="6">
        <v>0.40600000000000003</v>
      </c>
      <c r="AJ61" s="6">
        <v>0.27400000000000002</v>
      </c>
    </row>
    <row r="62" spans="1:36" ht="15.6" customHeight="1" x14ac:dyDescent="0.25">
      <c r="E62" s="32"/>
      <c r="F62" s="4">
        <v>720</v>
      </c>
      <c r="G62" s="5"/>
      <c r="H62" s="5"/>
      <c r="J62" s="32"/>
      <c r="K62" s="4">
        <v>720</v>
      </c>
      <c r="L62" s="9">
        <v>0.48499999999999999</v>
      </c>
      <c r="M62" s="9">
        <v>0.46200000000000002</v>
      </c>
      <c r="O62" s="32"/>
      <c r="P62" s="4">
        <v>720</v>
      </c>
      <c r="Q62" s="5">
        <v>0.432</v>
      </c>
      <c r="R62" s="5">
        <v>0.45100000000000001</v>
      </c>
      <c r="T62" s="32"/>
      <c r="U62" s="4">
        <v>720</v>
      </c>
      <c r="V62" s="5">
        <v>0.47</v>
      </c>
      <c r="W62" s="5">
        <v>0.45700000000000002</v>
      </c>
      <c r="Y62" s="6">
        <v>0.51900000000000002</v>
      </c>
      <c r="Z62" s="6">
        <v>0.51600000000000001</v>
      </c>
      <c r="AA62" s="6">
        <v>0.50600000000000001</v>
      </c>
      <c r="AB62" s="6">
        <v>0.50700000000000001</v>
      </c>
      <c r="AC62" s="6">
        <v>0.51400000000000001</v>
      </c>
      <c r="AD62" s="6">
        <v>0.51200000000000001</v>
      </c>
      <c r="AF62" s="6">
        <v>0.433</v>
      </c>
      <c r="AG62" s="6">
        <v>0.26900000000000002</v>
      </c>
      <c r="AI62" s="6">
        <v>0.44</v>
      </c>
      <c r="AJ62" s="6">
        <v>0.28799999999999998</v>
      </c>
    </row>
    <row r="63" spans="1:36" ht="15.6" customHeight="1" x14ac:dyDescent="0.25">
      <c r="E63" s="33"/>
      <c r="F63" s="4" t="s">
        <v>19</v>
      </c>
      <c r="G63" s="5"/>
      <c r="H63" s="5"/>
      <c r="J63" s="33"/>
      <c r="K63" s="4" t="s">
        <v>19</v>
      </c>
      <c r="L63" s="5">
        <v>0.437</v>
      </c>
      <c r="M63" s="5">
        <v>0.42799999999999999</v>
      </c>
      <c r="O63" s="33"/>
      <c r="P63" s="4" t="s">
        <v>19</v>
      </c>
      <c r="Q63" s="5">
        <v>0.378</v>
      </c>
      <c r="R63" s="5">
        <v>0.40600000000000003</v>
      </c>
      <c r="T63" s="33"/>
      <c r="U63" s="4"/>
      <c r="V63" s="5"/>
      <c r="W63" s="5"/>
      <c r="Y63" s="6">
        <f t="shared" ref="Y63:AD63" si="3">AVERAGE(Y59:Y62)</f>
        <v>0.45574999999999999</v>
      </c>
      <c r="Z63" s="6">
        <f t="shared" si="3"/>
        <v>0.45175000000000004</v>
      </c>
      <c r="AA63" s="6">
        <f t="shared" si="3"/>
        <v>0.44025000000000003</v>
      </c>
      <c r="AB63" s="6">
        <f t="shared" si="3"/>
        <v>0.45974999999999999</v>
      </c>
      <c r="AC63" s="6">
        <f t="shared" si="3"/>
        <v>0.49600000000000005</v>
      </c>
      <c r="AD63" s="6">
        <f t="shared" si="3"/>
        <v>0.48725000000000002</v>
      </c>
      <c r="AF63" s="6">
        <v>0.39100000000000001</v>
      </c>
      <c r="AG63" s="6">
        <v>0.24399999999999999</v>
      </c>
      <c r="AI63" s="6">
        <v>0.40375</v>
      </c>
      <c r="AJ63" s="6">
        <v>0.27224999999999999</v>
      </c>
    </row>
    <row r="64" spans="1:36" ht="15.6" customHeight="1" x14ac:dyDescent="0.25">
      <c r="E64" s="19" t="s">
        <v>22</v>
      </c>
      <c r="F64" s="4">
        <v>96</v>
      </c>
      <c r="G64" s="5">
        <v>9.4997480511665344E-2</v>
      </c>
      <c r="H64" s="5">
        <v>0.21710205078125</v>
      </c>
      <c r="J64" s="19" t="s">
        <v>22</v>
      </c>
      <c r="K64" s="4">
        <v>96</v>
      </c>
      <c r="L64" s="5">
        <v>0.25800000000000001</v>
      </c>
      <c r="M64" s="5">
        <v>0.32900000000000001</v>
      </c>
      <c r="O64" s="19" t="s">
        <v>22</v>
      </c>
      <c r="P64" s="4">
        <v>96</v>
      </c>
      <c r="Q64" s="5">
        <v>0.223</v>
      </c>
      <c r="R64" s="5">
        <v>0.29699999999999999</v>
      </c>
      <c r="T64" s="19" t="s">
        <v>22</v>
      </c>
      <c r="U64" s="4">
        <v>96</v>
      </c>
      <c r="V64" s="5">
        <v>0.29099999999999998</v>
      </c>
      <c r="W64" s="5">
        <v>0.34200000000000003</v>
      </c>
      <c r="Y64" s="6">
        <v>0.33300000000000002</v>
      </c>
      <c r="Z64" s="6">
        <v>0.38700000000000001</v>
      </c>
      <c r="AA64" s="6">
        <v>0.35799999999999998</v>
      </c>
      <c r="AB64" s="6">
        <v>0.39700000000000002</v>
      </c>
      <c r="AC64" s="6">
        <v>0.34599999999999997</v>
      </c>
      <c r="AD64" s="6">
        <v>0.38800000000000001</v>
      </c>
      <c r="AE64" s="14"/>
      <c r="AF64" s="6">
        <v>0.11799999999999999</v>
      </c>
      <c r="AG64" s="6">
        <v>0.22500000000000001</v>
      </c>
      <c r="AH64" s="15"/>
      <c r="AI64" s="6">
        <v>9.4E-2</v>
      </c>
      <c r="AJ64" s="6">
        <v>0.20399999999999999</v>
      </c>
    </row>
    <row r="65" spans="5:55" ht="15.6" customHeight="1" x14ac:dyDescent="0.25">
      <c r="E65" s="32"/>
      <c r="F65" s="4">
        <v>192</v>
      </c>
      <c r="G65" s="5">
        <v>0.56045407056808472</v>
      </c>
      <c r="H65" s="5">
        <v>0.48038169741630549</v>
      </c>
      <c r="J65" s="32"/>
      <c r="K65" s="4">
        <v>192</v>
      </c>
      <c r="L65" s="5">
        <v>0.34100000000000003</v>
      </c>
      <c r="M65" s="5">
        <v>0.375</v>
      </c>
      <c r="O65" s="32"/>
      <c r="P65" s="4">
        <v>192</v>
      </c>
      <c r="Q65" s="5">
        <v>0.26700000000000002</v>
      </c>
      <c r="R65" s="5">
        <v>0.32800000000000001</v>
      </c>
      <c r="T65" s="32"/>
      <c r="U65" s="4">
        <v>192</v>
      </c>
      <c r="V65" s="5">
        <v>0.36799999999999999</v>
      </c>
      <c r="W65" s="5">
        <v>0.39200000000000002</v>
      </c>
      <c r="Y65" s="6">
        <v>0.47699999999999998</v>
      </c>
      <c r="Z65" s="6">
        <v>0.47599999999999998</v>
      </c>
      <c r="AA65" s="6">
        <v>0.42899999999999999</v>
      </c>
      <c r="AB65" s="6">
        <v>0.439</v>
      </c>
      <c r="AC65" s="6">
        <v>0.45600000000000002</v>
      </c>
      <c r="AD65" s="6">
        <v>0.45200000000000001</v>
      </c>
      <c r="AE65" s="16"/>
      <c r="AF65" s="6">
        <v>0.191</v>
      </c>
      <c r="AG65" s="6">
        <v>0.28999999999999998</v>
      </c>
      <c r="AH65" s="16"/>
      <c r="AI65" s="6">
        <v>0.13700000000000001</v>
      </c>
      <c r="AJ65" s="6">
        <v>0.25</v>
      </c>
    </row>
    <row r="66" spans="5:55" ht="15.6" customHeight="1" x14ac:dyDescent="0.25">
      <c r="E66" s="32"/>
      <c r="F66" s="4">
        <v>336</v>
      </c>
      <c r="G66" s="5">
        <v>1.0783253908157351</v>
      </c>
      <c r="H66" s="5">
        <v>0.7975429892539978</v>
      </c>
      <c r="J66" s="32"/>
      <c r="K66" s="4">
        <v>336</v>
      </c>
      <c r="L66" s="5">
        <v>0.39</v>
      </c>
      <c r="M66" s="5">
        <v>0.40600000000000003</v>
      </c>
      <c r="O66" s="32"/>
      <c r="P66" s="4">
        <v>336</v>
      </c>
      <c r="Q66" s="5">
        <v>0.30499999999999999</v>
      </c>
      <c r="R66" s="5">
        <v>0.36</v>
      </c>
      <c r="T66" s="32"/>
      <c r="U66" s="4">
        <v>336</v>
      </c>
      <c r="V66" s="5">
        <v>0.40699999999999997</v>
      </c>
      <c r="W66" s="5">
        <v>0.42399999999999999</v>
      </c>
      <c r="Y66" s="6">
        <v>0.59399999999999997</v>
      </c>
      <c r="Z66" s="6">
        <v>0.54100000000000004</v>
      </c>
      <c r="AA66" s="6">
        <v>0.496</v>
      </c>
      <c r="AB66" s="6">
        <v>0.48699999999999999</v>
      </c>
      <c r="AC66" s="6">
        <v>0.48199999999999998</v>
      </c>
      <c r="AD66" s="6">
        <v>0.48599999999999999</v>
      </c>
      <c r="AE66" s="16"/>
      <c r="AF66" s="6">
        <v>0.35199999999999998</v>
      </c>
      <c r="AG66" s="6">
        <v>0.40500000000000003</v>
      </c>
      <c r="AH66" s="16"/>
      <c r="AI66" s="6">
        <v>0.224</v>
      </c>
      <c r="AJ66" s="6">
        <v>0.32600000000000001</v>
      </c>
    </row>
    <row r="67" spans="5:55" ht="15.6" customHeight="1" x14ac:dyDescent="0.25">
      <c r="E67" s="32"/>
      <c r="F67" s="4">
        <v>720</v>
      </c>
      <c r="G67" s="5"/>
      <c r="H67" s="5"/>
      <c r="J67" s="32"/>
      <c r="K67" s="4">
        <v>720</v>
      </c>
      <c r="L67" s="5">
        <v>0.4</v>
      </c>
      <c r="M67" s="5">
        <v>0.43099999999999999</v>
      </c>
      <c r="O67" s="32"/>
      <c r="P67" s="4">
        <v>720</v>
      </c>
      <c r="Q67" s="5">
        <v>0.377</v>
      </c>
      <c r="R67" s="5">
        <v>0.41599999999999998</v>
      </c>
      <c r="T67" s="32"/>
      <c r="U67" s="4">
        <v>720</v>
      </c>
      <c r="V67" s="5">
        <v>0.42099999999999999</v>
      </c>
      <c r="W67" s="5">
        <v>0.439</v>
      </c>
      <c r="Y67" s="6">
        <v>0.83099999999999996</v>
      </c>
      <c r="Z67" s="6">
        <v>0.65700000000000003</v>
      </c>
      <c r="AA67" s="6">
        <v>0.46300000000000002</v>
      </c>
      <c r="AB67" s="6">
        <v>0.47399999999999998</v>
      </c>
      <c r="AC67" s="6">
        <v>0.51500000000000001</v>
      </c>
      <c r="AD67" s="6">
        <v>0.51100000000000001</v>
      </c>
      <c r="AE67" s="16"/>
      <c r="AF67" s="6">
        <v>0.56599999999999995</v>
      </c>
      <c r="AG67" s="6">
        <v>0.53600000000000003</v>
      </c>
      <c r="AH67" s="16"/>
      <c r="AI67" s="6">
        <v>0.35899999999999999</v>
      </c>
      <c r="AJ67" s="6">
        <v>0.438</v>
      </c>
    </row>
    <row r="68" spans="5:55" ht="15.6" customHeight="1" x14ac:dyDescent="0.25">
      <c r="E68" s="33"/>
      <c r="F68" s="4" t="s">
        <v>19</v>
      </c>
      <c r="G68" s="5"/>
      <c r="H68" s="5"/>
      <c r="J68" s="33"/>
      <c r="K68" s="4" t="s">
        <v>19</v>
      </c>
      <c r="L68" s="5">
        <v>0.34699999999999998</v>
      </c>
      <c r="M68" s="5">
        <v>0.38500000000000001</v>
      </c>
      <c r="O68" s="33"/>
      <c r="P68" s="4" t="s">
        <v>19</v>
      </c>
      <c r="Q68" s="5">
        <v>0.29299999999999998</v>
      </c>
      <c r="R68" s="5">
        <v>0.35</v>
      </c>
      <c r="T68" s="33"/>
      <c r="U68" s="4"/>
      <c r="V68" s="5"/>
      <c r="W68" s="5"/>
      <c r="Y68" s="6">
        <f t="shared" ref="Y68:AD68" si="4">AVERAGE(Y64:Y67)</f>
        <v>0.55874999999999997</v>
      </c>
      <c r="Z68" s="6">
        <f t="shared" si="4"/>
        <v>0.51524999999999999</v>
      </c>
      <c r="AA68" s="6">
        <f t="shared" si="4"/>
        <v>0.4365</v>
      </c>
      <c r="AB68" s="6">
        <f t="shared" si="4"/>
        <v>0.44924999999999998</v>
      </c>
      <c r="AC68" s="6">
        <f t="shared" si="4"/>
        <v>0.44974999999999998</v>
      </c>
      <c r="AD68" s="6">
        <f t="shared" si="4"/>
        <v>0.45925000000000005</v>
      </c>
      <c r="AE68" s="16"/>
      <c r="AF68" s="6">
        <v>0.307</v>
      </c>
      <c r="AG68" s="6">
        <v>0.36399999999999999</v>
      </c>
      <c r="AH68" s="16"/>
      <c r="AI68" s="6">
        <v>0.20399999999999999</v>
      </c>
      <c r="AJ68" s="6">
        <v>0.30499999999999999</v>
      </c>
    </row>
    <row r="69" spans="5:55" ht="15.6" customHeight="1" x14ac:dyDescent="0.25">
      <c r="E69" s="4" t="s">
        <v>23</v>
      </c>
      <c r="F69" s="4">
        <v>96</v>
      </c>
      <c r="G69" s="5"/>
      <c r="H69" s="5"/>
      <c r="J69" s="4" t="s">
        <v>23</v>
      </c>
      <c r="K69" s="4">
        <v>96</v>
      </c>
      <c r="L69" s="5">
        <v>0.13500000000000001</v>
      </c>
      <c r="M69" s="5">
        <v>0.23400000000000001</v>
      </c>
      <c r="O69" s="4" t="s">
        <v>23</v>
      </c>
      <c r="P69" s="4">
        <v>96</v>
      </c>
      <c r="Q69" s="5">
        <v>0.125</v>
      </c>
      <c r="R69" s="5">
        <v>0.215</v>
      </c>
      <c r="T69" s="4" t="s">
        <v>23</v>
      </c>
      <c r="U69" s="4">
        <v>96</v>
      </c>
      <c r="V69" s="5">
        <v>0.14000000000000001</v>
      </c>
      <c r="W69" s="5">
        <v>0.23799999999999999</v>
      </c>
      <c r="Y69" s="6">
        <v>0.19700000000000001</v>
      </c>
      <c r="Z69" s="6">
        <v>0.28199999999999997</v>
      </c>
      <c r="AA69" s="6">
        <v>0.193</v>
      </c>
      <c r="AB69" s="6">
        <v>0.308</v>
      </c>
      <c r="AC69" s="6">
        <v>0.20100000000000001</v>
      </c>
      <c r="AD69" s="6">
        <v>0.317</v>
      </c>
      <c r="AE69" s="16"/>
      <c r="AF69" s="6">
        <v>0.107</v>
      </c>
      <c r="AG69" s="6">
        <v>0.21299999999999999</v>
      </c>
      <c r="AH69" s="16"/>
      <c r="AI69" s="6">
        <v>8.6999999999999994E-2</v>
      </c>
      <c r="AJ69" s="6">
        <v>0.193</v>
      </c>
    </row>
    <row r="70" spans="5:55" ht="15.6" customHeight="1" x14ac:dyDescent="0.25">
      <c r="E70" s="32"/>
      <c r="F70" s="4">
        <v>192</v>
      </c>
      <c r="G70" s="5"/>
      <c r="H70" s="5"/>
      <c r="J70" s="32"/>
      <c r="K70" s="4">
        <v>192</v>
      </c>
      <c r="L70" s="9">
        <v>0.155</v>
      </c>
      <c r="M70" s="9">
        <v>0.24399999999999999</v>
      </c>
      <c r="O70" s="32"/>
      <c r="P70" s="4">
        <v>192</v>
      </c>
      <c r="Q70" s="5">
        <v>0.13</v>
      </c>
      <c r="R70" s="5">
        <v>0.22700000000000001</v>
      </c>
      <c r="T70" s="32"/>
      <c r="U70" s="4">
        <v>192</v>
      </c>
      <c r="V70" s="5">
        <v>0.155</v>
      </c>
      <c r="W70" s="5">
        <v>0.253</v>
      </c>
      <c r="Y70" s="6">
        <v>0.19600000000000001</v>
      </c>
      <c r="Z70" s="6">
        <v>0.28499999999999998</v>
      </c>
      <c r="AA70" s="6">
        <v>0.20100000000000001</v>
      </c>
      <c r="AB70" s="6">
        <v>0.315</v>
      </c>
      <c r="AC70" s="6">
        <v>0.222</v>
      </c>
      <c r="AD70" s="6">
        <v>0.33400000000000002</v>
      </c>
      <c r="AE70" s="16"/>
      <c r="AF70" s="6">
        <v>0.17599999999999999</v>
      </c>
      <c r="AG70" s="6">
        <v>0.27400000000000002</v>
      </c>
      <c r="AH70" s="16"/>
      <c r="AI70" s="6">
        <v>0.17299999999999999</v>
      </c>
      <c r="AJ70" s="6">
        <v>0.28199999999999997</v>
      </c>
    </row>
    <row r="71" spans="5:55" ht="15.6" customHeight="1" x14ac:dyDescent="0.25">
      <c r="E71" s="32"/>
      <c r="F71" s="4">
        <v>336</v>
      </c>
      <c r="G71" s="5"/>
      <c r="H71" s="5"/>
      <c r="J71" s="32"/>
      <c r="K71" s="4">
        <v>336</v>
      </c>
      <c r="L71" s="5">
        <v>0.16300000000000001</v>
      </c>
      <c r="M71" s="5">
        <v>0.26100000000000001</v>
      </c>
      <c r="O71" s="32"/>
      <c r="P71" s="4">
        <v>336</v>
      </c>
      <c r="Q71" s="5">
        <v>0.15</v>
      </c>
      <c r="R71" s="5">
        <v>0.24099999999999999</v>
      </c>
      <c r="T71" s="32"/>
      <c r="U71" s="4">
        <v>336</v>
      </c>
      <c r="V71" s="5">
        <v>0.17</v>
      </c>
      <c r="W71" s="5">
        <v>0.26900000000000002</v>
      </c>
      <c r="Y71" s="6">
        <v>0.20899999999999999</v>
      </c>
      <c r="Z71" s="6">
        <v>0.30099999999999999</v>
      </c>
      <c r="AA71" s="6">
        <v>0.214</v>
      </c>
      <c r="AB71" s="6">
        <v>0.32900000000000001</v>
      </c>
      <c r="AC71" s="6">
        <v>0.23100000000000001</v>
      </c>
      <c r="AD71" s="6">
        <v>0.33800000000000002</v>
      </c>
      <c r="AE71" s="16"/>
      <c r="AF71" s="6">
        <v>0.34599999999999997</v>
      </c>
      <c r="AG71" s="6">
        <v>0.39200000000000002</v>
      </c>
      <c r="AH71" s="16"/>
      <c r="AI71" s="6">
        <v>0.22800000000000001</v>
      </c>
      <c r="AJ71" s="6">
        <v>0.32100000000000001</v>
      </c>
    </row>
    <row r="72" spans="5:55" ht="15.6" customHeight="1" x14ac:dyDescent="0.25">
      <c r="E72" s="32"/>
      <c r="F72" s="4">
        <v>720</v>
      </c>
      <c r="G72" s="5"/>
      <c r="H72" s="5"/>
      <c r="J72" s="32"/>
      <c r="K72" s="4">
        <v>720</v>
      </c>
      <c r="L72" s="5">
        <v>0.2</v>
      </c>
      <c r="M72" s="5">
        <v>0.28999999999999998</v>
      </c>
      <c r="O72" s="32"/>
      <c r="P72" s="4">
        <v>720</v>
      </c>
      <c r="Q72" s="5">
        <v>0.189</v>
      </c>
      <c r="R72" s="5">
        <v>0.28000000000000003</v>
      </c>
      <c r="T72" s="32"/>
      <c r="U72" s="4">
        <v>720</v>
      </c>
      <c r="V72" s="5">
        <v>0.19700000000000001</v>
      </c>
      <c r="W72" s="5">
        <v>0.29299999999999998</v>
      </c>
      <c r="Y72" s="6">
        <v>0.245</v>
      </c>
      <c r="Z72" s="6">
        <v>0.33300000000000002</v>
      </c>
      <c r="AA72" s="6">
        <v>0.246</v>
      </c>
      <c r="AB72" s="6">
        <v>0.35499999999999998</v>
      </c>
      <c r="AC72" s="6">
        <v>0.254</v>
      </c>
      <c r="AD72" s="6">
        <v>0.36099999999999999</v>
      </c>
      <c r="AE72" s="16"/>
      <c r="AF72" s="6">
        <v>0.67400000000000004</v>
      </c>
      <c r="AG72" s="6">
        <v>0.54500000000000004</v>
      </c>
      <c r="AH72" s="16"/>
      <c r="AI72" s="6">
        <v>0.40200000000000002</v>
      </c>
      <c r="AJ72" s="6">
        <v>0.435</v>
      </c>
    </row>
    <row r="73" spans="5:55" ht="15.6" customHeight="1" x14ac:dyDescent="0.25">
      <c r="E73" s="33"/>
      <c r="F73" s="4" t="s">
        <v>19</v>
      </c>
      <c r="G73" s="5"/>
      <c r="H73" s="5"/>
      <c r="J73" s="33"/>
      <c r="K73" s="4" t="s">
        <v>19</v>
      </c>
      <c r="L73" s="5">
        <v>0.16300000000000001</v>
      </c>
      <c r="M73" s="5">
        <v>0.25700000000000001</v>
      </c>
      <c r="O73" s="33"/>
      <c r="P73" s="4" t="s">
        <v>19</v>
      </c>
      <c r="Q73" s="5">
        <v>0.14899999999999999</v>
      </c>
      <c r="R73" s="5">
        <v>0.24099999999999999</v>
      </c>
      <c r="T73" s="33"/>
      <c r="U73" s="4"/>
      <c r="V73" s="5"/>
      <c r="W73" s="5"/>
      <c r="Y73" s="6">
        <v>0.21199999999999999</v>
      </c>
      <c r="Z73" s="6">
        <v>0.3</v>
      </c>
      <c r="AA73" s="6">
        <v>0.214</v>
      </c>
      <c r="AB73" s="6">
        <v>0.32700000000000001</v>
      </c>
      <c r="AC73" s="6">
        <v>0.22700000000000001</v>
      </c>
      <c r="AD73" s="6">
        <v>0.33800000000000002</v>
      </c>
      <c r="AE73" s="16"/>
      <c r="AF73" s="6">
        <v>0.32600000000000001</v>
      </c>
      <c r="AG73" s="6">
        <v>0.35599999999999998</v>
      </c>
      <c r="AH73" s="16"/>
      <c r="AI73" s="6">
        <v>0.223</v>
      </c>
      <c r="AJ73" s="6">
        <v>0.308</v>
      </c>
    </row>
    <row r="74" spans="5:55" ht="15.6" customHeight="1" x14ac:dyDescent="0.25">
      <c r="E74" s="19" t="s">
        <v>24</v>
      </c>
      <c r="F74" s="4">
        <v>96</v>
      </c>
      <c r="G74" s="5">
        <v>6.7096486687660217E-2</v>
      </c>
      <c r="H74" s="5">
        <v>0.17555332183837891</v>
      </c>
      <c r="J74" s="19" t="s">
        <v>24</v>
      </c>
      <c r="K74" s="4"/>
      <c r="L74" s="5"/>
      <c r="M74" s="5"/>
      <c r="O74" s="19" t="s">
        <v>24</v>
      </c>
      <c r="P74" s="4">
        <v>96</v>
      </c>
      <c r="Q74" s="5">
        <v>8.1000000000000003E-2</v>
      </c>
      <c r="R74" s="5">
        <v>0.19700000000000001</v>
      </c>
      <c r="T74" s="19" t="s">
        <v>24</v>
      </c>
      <c r="U74" s="4"/>
      <c r="V74" s="5"/>
      <c r="W74" s="5"/>
      <c r="Y74" s="6">
        <v>8.7999999999999995E-2</v>
      </c>
      <c r="Z74" s="6">
        <v>0.218</v>
      </c>
      <c r="AA74" s="6">
        <v>0.14799999999999999</v>
      </c>
      <c r="AB74" s="6">
        <v>0.27800000000000002</v>
      </c>
      <c r="AC74" s="6">
        <v>0.19700000000000001</v>
      </c>
      <c r="AD74" s="6">
        <v>0.32300000000000001</v>
      </c>
      <c r="AE74" s="16"/>
      <c r="AF74" s="16"/>
      <c r="AG74" s="16"/>
      <c r="AH74" s="16"/>
    </row>
    <row r="75" spans="5:55" ht="15.6" customHeight="1" x14ac:dyDescent="0.25">
      <c r="E75" s="32"/>
      <c r="F75" s="4">
        <v>192</v>
      </c>
      <c r="G75" s="5">
        <v>0.15462617576122281</v>
      </c>
      <c r="H75" s="5">
        <v>0.29214438796043402</v>
      </c>
      <c r="J75" s="32"/>
      <c r="K75" s="4"/>
      <c r="L75" s="5"/>
      <c r="M75" s="5"/>
      <c r="O75" s="32"/>
      <c r="P75" s="4">
        <v>192</v>
      </c>
      <c r="Q75" s="5">
        <v>0.17799999999999999</v>
      </c>
      <c r="R75" s="5">
        <v>0.29799999999999999</v>
      </c>
      <c r="T75" s="32"/>
      <c r="U75" s="4"/>
      <c r="V75" s="5"/>
      <c r="W75" s="5"/>
      <c r="Y75" s="6">
        <v>0.17599999999999999</v>
      </c>
      <c r="Z75" s="6">
        <v>0.315</v>
      </c>
      <c r="AA75" s="6">
        <v>0.27100000000000002</v>
      </c>
      <c r="AB75" s="6">
        <v>0.315</v>
      </c>
      <c r="AC75" s="6">
        <v>0.3</v>
      </c>
      <c r="AD75" s="6">
        <v>0.36899999999999999</v>
      </c>
      <c r="AE75" s="16"/>
      <c r="AF75" s="16"/>
      <c r="AG75" s="16"/>
      <c r="AH75" s="16"/>
    </row>
    <row r="76" spans="5:55" ht="15.6" customHeight="1" x14ac:dyDescent="0.25">
      <c r="E76" s="32"/>
      <c r="F76" s="4">
        <v>336</v>
      </c>
      <c r="G76" s="5">
        <v>0.17894682288169861</v>
      </c>
      <c r="H76" s="5">
        <v>0.30068987607955933</v>
      </c>
      <c r="J76" s="32"/>
      <c r="K76" s="4"/>
      <c r="L76" s="5"/>
      <c r="M76" s="5"/>
      <c r="O76" s="32"/>
      <c r="P76" s="4">
        <v>336</v>
      </c>
      <c r="Q76" s="5">
        <v>0.34300000000000003</v>
      </c>
      <c r="R76" s="5">
        <v>0.42099999999999999</v>
      </c>
      <c r="T76" s="32"/>
      <c r="U76" s="4"/>
      <c r="V76" s="5"/>
      <c r="W76" s="5"/>
      <c r="Y76" s="6">
        <v>0.313</v>
      </c>
      <c r="Z76" s="6">
        <v>0.42699999999999999</v>
      </c>
      <c r="AA76" s="6">
        <v>0.46</v>
      </c>
      <c r="AB76" s="6">
        <v>0.42699999999999999</v>
      </c>
      <c r="AC76" s="6">
        <v>0.50900000000000001</v>
      </c>
      <c r="AD76" s="6">
        <v>0.52400000000000002</v>
      </c>
      <c r="AE76" s="16"/>
      <c r="AF76" s="16"/>
      <c r="AG76" s="16"/>
      <c r="AH76" s="16"/>
    </row>
    <row r="77" spans="5:55" ht="15.6" customHeight="1" x14ac:dyDescent="0.3">
      <c r="E77" s="32"/>
      <c r="F77" s="4">
        <v>720</v>
      </c>
      <c r="G77" s="5">
        <v>0.46079075336456299</v>
      </c>
      <c r="H77" s="5">
        <v>0.5513494610786438</v>
      </c>
      <c r="J77" s="32"/>
      <c r="K77" s="4"/>
      <c r="L77" s="5"/>
      <c r="M77" s="5"/>
      <c r="O77" s="32"/>
      <c r="P77" s="4">
        <v>720</v>
      </c>
      <c r="Q77" s="5">
        <v>0.876</v>
      </c>
      <c r="R77" s="5">
        <v>0.70399999999999996</v>
      </c>
      <c r="T77" s="32"/>
      <c r="U77" s="4"/>
      <c r="V77" s="5"/>
      <c r="W77" s="5"/>
      <c r="Y77" s="6">
        <v>0.83899999999999997</v>
      </c>
      <c r="Z77" s="6">
        <v>0.69499999999999995</v>
      </c>
      <c r="AA77" s="6">
        <v>1.1950000000000001</v>
      </c>
      <c r="AB77" s="6">
        <v>0.69499999999999995</v>
      </c>
      <c r="AC77" s="6">
        <v>1.4470000000000001</v>
      </c>
      <c r="AD77" s="6">
        <v>0.94099999999999995</v>
      </c>
      <c r="AE77" s="16"/>
      <c r="AF77" s="52" t="s">
        <v>27</v>
      </c>
      <c r="AG77" s="4">
        <v>96</v>
      </c>
      <c r="AH77" s="71">
        <v>862</v>
      </c>
      <c r="AI77" s="39">
        <v>3</v>
      </c>
      <c r="AJ77" s="39">
        <v>16</v>
      </c>
      <c r="AK77" s="39">
        <v>256</v>
      </c>
      <c r="AL77" s="39">
        <v>8</v>
      </c>
      <c r="AM77" s="39">
        <v>2</v>
      </c>
      <c r="AN77" s="39">
        <v>0.2</v>
      </c>
      <c r="AO77" s="41">
        <v>1.0000000000000001E-5</v>
      </c>
      <c r="AP77" s="39">
        <v>16</v>
      </c>
      <c r="AQ77" s="40">
        <v>16</v>
      </c>
      <c r="AR77" s="39">
        <v>20</v>
      </c>
      <c r="AS77" s="39">
        <v>256</v>
      </c>
      <c r="AT77" s="40">
        <v>4</v>
      </c>
      <c r="AU77" s="39">
        <v>2</v>
      </c>
      <c r="AV77" s="39">
        <v>2</v>
      </c>
      <c r="AW77" s="39"/>
      <c r="AX77" s="39">
        <v>3</v>
      </c>
      <c r="AY77" s="39">
        <v>15</v>
      </c>
      <c r="AZ77" s="39">
        <v>5</v>
      </c>
      <c r="BA77" s="42">
        <v>9.9999999999999995E-7</v>
      </c>
      <c r="BB77" s="65">
        <v>1.4870000000000001E-4</v>
      </c>
      <c r="BC77" s="60"/>
    </row>
    <row r="78" spans="5:55" ht="15.6" customHeight="1" x14ac:dyDescent="0.3">
      <c r="E78" s="33"/>
      <c r="F78" s="4" t="s">
        <v>19</v>
      </c>
      <c r="G78" s="2">
        <v>0.21536505967378619</v>
      </c>
      <c r="H78" s="5">
        <v>0.329934261739254</v>
      </c>
      <c r="J78" s="33"/>
      <c r="K78" s="4"/>
      <c r="L78" s="9"/>
      <c r="M78" s="9"/>
      <c r="O78" s="33"/>
      <c r="P78" s="4" t="s">
        <v>19</v>
      </c>
      <c r="Q78" s="5">
        <v>0.37</v>
      </c>
      <c r="R78" s="5">
        <v>0.40500000000000003</v>
      </c>
      <c r="T78" s="33"/>
      <c r="U78" s="4"/>
      <c r="V78" s="5"/>
      <c r="W78" s="5"/>
      <c r="Y78" s="6">
        <f t="shared" ref="Y78:AD78" si="5">AVERAGE(Y74:Y77)</f>
        <v>0.35399999999999998</v>
      </c>
      <c r="Z78" s="6">
        <f t="shared" si="5"/>
        <v>0.41374999999999995</v>
      </c>
      <c r="AA78" s="6">
        <f t="shared" si="5"/>
        <v>0.51849999999999996</v>
      </c>
      <c r="AB78" s="6">
        <f t="shared" si="5"/>
        <v>0.42874999999999996</v>
      </c>
      <c r="AC78" s="6">
        <f t="shared" si="5"/>
        <v>0.61325000000000007</v>
      </c>
      <c r="AD78" s="6">
        <f t="shared" si="5"/>
        <v>0.53925000000000001</v>
      </c>
      <c r="AE78" s="16"/>
      <c r="AF78" s="50"/>
      <c r="AG78" s="4">
        <v>192</v>
      </c>
      <c r="AH78" s="50"/>
      <c r="AI78" s="39">
        <v>3</v>
      </c>
      <c r="AJ78" s="39">
        <v>16</v>
      </c>
      <c r="AK78" s="39">
        <v>256</v>
      </c>
      <c r="AL78" s="39">
        <v>2</v>
      </c>
      <c r="AM78" s="39">
        <v>2</v>
      </c>
      <c r="AN78" s="39">
        <v>0.2</v>
      </c>
      <c r="AO78" s="41">
        <v>9.9999999999999995E-7</v>
      </c>
      <c r="AP78" s="39">
        <v>32</v>
      </c>
      <c r="AQ78" s="40">
        <v>8</v>
      </c>
      <c r="AR78" s="39">
        <v>16</v>
      </c>
      <c r="AS78" s="39">
        <v>256</v>
      </c>
      <c r="AT78" s="40">
        <v>4</v>
      </c>
      <c r="AU78" s="39">
        <v>4</v>
      </c>
      <c r="AV78" s="39">
        <v>2</v>
      </c>
      <c r="AW78" s="39"/>
      <c r="AX78" s="39">
        <v>3</v>
      </c>
      <c r="AY78" s="39">
        <v>15</v>
      </c>
      <c r="AZ78" s="39">
        <v>5</v>
      </c>
      <c r="BA78" s="42">
        <v>9.9999999999999995E-7</v>
      </c>
      <c r="BB78" s="65">
        <v>2.0430000000000001E-4</v>
      </c>
      <c r="BC78" s="60"/>
    </row>
    <row r="79" spans="5:55" ht="15.6" customHeight="1" x14ac:dyDescent="0.3">
      <c r="E79" s="19" t="s">
        <v>25</v>
      </c>
      <c r="F79" s="4">
        <v>96</v>
      </c>
      <c r="G79" s="5">
        <v>2.5759069249033931E-2</v>
      </c>
      <c r="H79" s="5">
        <v>9.0402908623218536E-2</v>
      </c>
      <c r="J79" s="19" t="s">
        <v>25</v>
      </c>
      <c r="K79" s="4">
        <v>96</v>
      </c>
      <c r="L79" s="5">
        <v>0.14099999999999999</v>
      </c>
      <c r="M79" s="5">
        <v>0.18099999999999999</v>
      </c>
      <c r="O79" s="19" t="s">
        <v>25</v>
      </c>
      <c r="P79" s="4">
        <v>96</v>
      </c>
      <c r="Q79" s="5">
        <v>0.14399999999999999</v>
      </c>
      <c r="R79" s="5">
        <v>0.18</v>
      </c>
      <c r="T79" s="19" t="s">
        <v>25</v>
      </c>
      <c r="U79" s="4">
        <v>96</v>
      </c>
      <c r="V79" s="5">
        <v>0.159</v>
      </c>
      <c r="W79" s="5">
        <v>0.20499999999999999</v>
      </c>
      <c r="Y79" s="6">
        <v>0.19600000000000001</v>
      </c>
      <c r="Z79" s="6">
        <v>0.255</v>
      </c>
      <c r="AA79" s="6">
        <v>0.217</v>
      </c>
      <c r="AB79" s="6">
        <v>0.29599999999999999</v>
      </c>
      <c r="AC79" s="6">
        <v>0.26600000000000001</v>
      </c>
      <c r="AD79" s="6">
        <v>0.33600000000000002</v>
      </c>
      <c r="AE79" s="16"/>
      <c r="AF79" s="50"/>
      <c r="AG79" s="4">
        <v>336</v>
      </c>
      <c r="AH79" s="50"/>
      <c r="AI79" s="39">
        <v>2</v>
      </c>
      <c r="AJ79" s="39">
        <v>16</v>
      </c>
      <c r="AK79" s="39">
        <v>256</v>
      </c>
      <c r="AL79" s="39">
        <v>16</v>
      </c>
      <c r="AM79" s="39">
        <v>2</v>
      </c>
      <c r="AN79" s="39">
        <v>0.2</v>
      </c>
      <c r="AO79" s="41">
        <v>1E-4</v>
      </c>
      <c r="AP79" s="39">
        <v>32</v>
      </c>
      <c r="AQ79" s="40">
        <v>8</v>
      </c>
      <c r="AR79" s="39">
        <v>20</v>
      </c>
      <c r="AS79" s="39">
        <v>128</v>
      </c>
      <c r="AT79" s="40">
        <v>8</v>
      </c>
      <c r="AU79" s="39">
        <v>4</v>
      </c>
      <c r="AV79" s="39">
        <v>2</v>
      </c>
      <c r="AW79" s="39"/>
      <c r="AX79" s="39">
        <v>3</v>
      </c>
      <c r="AY79" s="39">
        <v>15</v>
      </c>
      <c r="AZ79" s="39">
        <v>5</v>
      </c>
      <c r="BA79" s="42">
        <v>9.9999999999999995E-7</v>
      </c>
      <c r="BB79" s="65">
        <v>2.3949999999999999E-4</v>
      </c>
      <c r="BC79" s="60"/>
    </row>
    <row r="80" spans="5:55" ht="15.6" customHeight="1" x14ac:dyDescent="0.3">
      <c r="E80" s="32"/>
      <c r="F80" s="4">
        <v>192</v>
      </c>
      <c r="G80" s="5">
        <v>6.7301161587238312E-2</v>
      </c>
      <c r="H80" s="5">
        <v>0.1663181930780411</v>
      </c>
      <c r="J80" s="32"/>
      <c r="K80" s="4">
        <v>192</v>
      </c>
      <c r="L80" s="5">
        <v>0.189</v>
      </c>
      <c r="M80" s="5">
        <v>0.23</v>
      </c>
      <c r="O80" s="32"/>
      <c r="P80" s="4">
        <v>192</v>
      </c>
      <c r="Q80" s="5">
        <v>0.188</v>
      </c>
      <c r="R80" s="5">
        <v>0.223</v>
      </c>
      <c r="T80" s="32"/>
      <c r="U80" s="4">
        <v>192</v>
      </c>
      <c r="V80" s="5">
        <v>0.20499999999999999</v>
      </c>
      <c r="W80" s="5">
        <v>0.249</v>
      </c>
      <c r="Y80" s="6">
        <v>0.23699999999999999</v>
      </c>
      <c r="Z80" s="6">
        <v>0.29599999999999999</v>
      </c>
      <c r="AA80" s="6">
        <v>0.27600000000000002</v>
      </c>
      <c r="AB80" s="6">
        <v>0.33600000000000002</v>
      </c>
      <c r="AC80" s="6">
        <v>0.307</v>
      </c>
      <c r="AD80" s="6">
        <v>0.36699999999999999</v>
      </c>
      <c r="AE80" s="16"/>
      <c r="AF80" s="51"/>
      <c r="AG80" s="4">
        <v>720</v>
      </c>
      <c r="AH80" s="51"/>
      <c r="AI80" s="39">
        <v>3</v>
      </c>
      <c r="AJ80" s="39">
        <v>16</v>
      </c>
      <c r="AK80" s="39">
        <v>256</v>
      </c>
      <c r="AL80" s="39">
        <v>2</v>
      </c>
      <c r="AM80" s="39">
        <v>2</v>
      </c>
      <c r="AN80" s="39">
        <v>0.2</v>
      </c>
      <c r="AO80" s="41">
        <v>5.0000000000000001E-4</v>
      </c>
      <c r="AP80" s="39">
        <v>32</v>
      </c>
      <c r="AQ80" s="40">
        <v>8</v>
      </c>
      <c r="AR80" s="39">
        <v>20</v>
      </c>
      <c r="AS80" s="39">
        <v>256</v>
      </c>
      <c r="AT80" s="40">
        <v>8</v>
      </c>
      <c r="AU80" s="39">
        <v>2</v>
      </c>
      <c r="AV80" s="39">
        <v>2</v>
      </c>
      <c r="AW80" s="39"/>
      <c r="AX80" s="39">
        <v>3</v>
      </c>
      <c r="AY80" s="39">
        <v>15</v>
      </c>
      <c r="AZ80" s="39">
        <v>5</v>
      </c>
      <c r="BA80" s="42">
        <v>9.9999999999999995E-7</v>
      </c>
      <c r="BB80" s="65">
        <v>3.2899999999999997E-4</v>
      </c>
      <c r="BC80" s="60"/>
    </row>
    <row r="81" spans="5:35" ht="15.6" customHeight="1" x14ac:dyDescent="0.25">
      <c r="E81" s="32"/>
      <c r="F81" s="4">
        <v>336</v>
      </c>
      <c r="G81" s="5">
        <v>0.1551870405673981</v>
      </c>
      <c r="H81" s="5">
        <v>0.19584044814109799</v>
      </c>
      <c r="J81" s="32"/>
      <c r="K81" s="4">
        <v>336</v>
      </c>
      <c r="L81" s="5">
        <v>0.253</v>
      </c>
      <c r="M81" s="5">
        <v>0.26700000000000002</v>
      </c>
      <c r="O81" s="32"/>
      <c r="P81" s="4">
        <v>336</v>
      </c>
      <c r="Q81" s="5">
        <v>0.22</v>
      </c>
      <c r="R81" s="5">
        <v>0.25700000000000001</v>
      </c>
      <c r="T81" s="32"/>
      <c r="U81" s="4">
        <v>336</v>
      </c>
      <c r="V81" s="5">
        <v>0.26400000000000001</v>
      </c>
      <c r="W81" s="5">
        <v>0.29099999999999998</v>
      </c>
      <c r="Y81" s="6">
        <v>0.28299999999999997</v>
      </c>
      <c r="Z81" s="6">
        <v>0.33500000000000002</v>
      </c>
      <c r="AA81" s="6">
        <v>0.33900000000000002</v>
      </c>
      <c r="AB81" s="6">
        <v>0.38</v>
      </c>
      <c r="AC81" s="6">
        <v>0.35899999999999999</v>
      </c>
      <c r="AD81" s="6">
        <v>0.39500000000000002</v>
      </c>
      <c r="AE81" s="16"/>
      <c r="AF81" s="16"/>
      <c r="AG81" s="16"/>
      <c r="AH81" s="16"/>
    </row>
    <row r="82" spans="5:35" ht="15.6" customHeight="1" x14ac:dyDescent="0.25">
      <c r="E82" s="32"/>
      <c r="F82" s="4">
        <v>720</v>
      </c>
      <c r="G82" s="5">
        <v>0.53838652372360229</v>
      </c>
      <c r="H82" s="5">
        <v>0.37615340948104858</v>
      </c>
      <c r="J82" s="32"/>
      <c r="K82" s="4">
        <v>720</v>
      </c>
      <c r="L82" s="5">
        <v>0.33300000000000002</v>
      </c>
      <c r="M82" s="5">
        <v>0.32300000000000001</v>
      </c>
      <c r="O82" s="32"/>
      <c r="P82" s="4">
        <v>720</v>
      </c>
      <c r="Q82" s="5">
        <v>0.29399999999999998</v>
      </c>
      <c r="R82" s="5">
        <v>0.31</v>
      </c>
      <c r="T82" s="32"/>
      <c r="U82" s="4">
        <v>720</v>
      </c>
      <c r="V82" s="5">
        <v>0.34300000000000003</v>
      </c>
      <c r="W82" s="5">
        <v>0.34399999999999997</v>
      </c>
      <c r="Y82" s="6">
        <v>0.34499999999999997</v>
      </c>
      <c r="Z82" s="6">
        <v>0.38100000000000001</v>
      </c>
      <c r="AA82" s="6">
        <v>0.40300000000000002</v>
      </c>
      <c r="AB82" s="6">
        <v>0.42799999999999999</v>
      </c>
      <c r="AC82" s="6">
        <v>0.41899999999999998</v>
      </c>
      <c r="AD82" s="6">
        <v>0.42799999999999999</v>
      </c>
      <c r="AE82" s="16"/>
      <c r="AF82" s="16"/>
      <c r="AG82" s="16"/>
      <c r="AH82" s="16"/>
    </row>
    <row r="83" spans="5:35" ht="15.6" customHeight="1" x14ac:dyDescent="0.25">
      <c r="E83" s="33"/>
      <c r="F83" s="4" t="s">
        <v>19</v>
      </c>
      <c r="G83" s="5">
        <v>0.19665844878181821</v>
      </c>
      <c r="H83" s="5">
        <v>0.20717873983085161</v>
      </c>
      <c r="J83" s="33"/>
      <c r="K83" s="4" t="s">
        <v>19</v>
      </c>
      <c r="L83" s="5">
        <v>0.22900000000000001</v>
      </c>
      <c r="M83" s="5">
        <v>0.25</v>
      </c>
      <c r="O83" s="33"/>
      <c r="P83" s="4" t="s">
        <v>19</v>
      </c>
      <c r="Q83" s="5">
        <v>0.21199999999999999</v>
      </c>
      <c r="R83" s="5">
        <v>0.24299999999999999</v>
      </c>
      <c r="T83" s="33"/>
      <c r="U83" s="4"/>
      <c r="V83" s="5"/>
      <c r="W83" s="5"/>
      <c r="Y83" s="6">
        <f t="shared" ref="Y83:AD83" si="6">AVERAGE(Y79:Y82)</f>
        <v>0.26524999999999999</v>
      </c>
      <c r="Z83" s="6">
        <f t="shared" si="6"/>
        <v>0.31674999999999998</v>
      </c>
      <c r="AA83" s="6">
        <f t="shared" si="6"/>
        <v>0.30875000000000002</v>
      </c>
      <c r="AB83" s="6">
        <f t="shared" si="6"/>
        <v>0.36</v>
      </c>
      <c r="AC83" s="6">
        <f t="shared" si="6"/>
        <v>0.33774999999999999</v>
      </c>
      <c r="AD83" s="6">
        <f t="shared" si="6"/>
        <v>0.38150000000000001</v>
      </c>
      <c r="AE83" s="16"/>
      <c r="AF83" s="52" t="s">
        <v>2</v>
      </c>
      <c r="AG83" s="60"/>
      <c r="AH83" s="69" t="s">
        <v>66</v>
      </c>
      <c r="AI83" s="60"/>
    </row>
    <row r="84" spans="5:35" ht="15.6" customHeight="1" x14ac:dyDescent="0.25">
      <c r="E84" s="19" t="s">
        <v>67</v>
      </c>
      <c r="F84" s="4">
        <v>96</v>
      </c>
      <c r="G84" s="5">
        <v>0.1085362881422043</v>
      </c>
      <c r="H84" s="5">
        <v>0.20654551684856409</v>
      </c>
      <c r="J84" s="19" t="s">
        <v>67</v>
      </c>
      <c r="K84" s="4">
        <v>96</v>
      </c>
      <c r="L84" s="5">
        <v>0.18099999999999999</v>
      </c>
      <c r="M84" s="5">
        <v>0.23699999999999999</v>
      </c>
      <c r="O84" s="19" t="s">
        <v>67</v>
      </c>
      <c r="P84" s="4">
        <v>96</v>
      </c>
      <c r="Q84" s="5"/>
      <c r="R84" s="5"/>
      <c r="T84" s="19" t="s">
        <v>67</v>
      </c>
      <c r="U84" s="4">
        <v>96</v>
      </c>
      <c r="V84" s="5">
        <v>0.184</v>
      </c>
      <c r="W84" s="5">
        <v>0.222</v>
      </c>
      <c r="Y84" s="6">
        <v>0.28999999999999998</v>
      </c>
      <c r="Z84" s="6">
        <v>0.378</v>
      </c>
      <c r="AA84" s="6">
        <v>0.24199999999999999</v>
      </c>
      <c r="AB84" s="6">
        <v>0.34200000000000003</v>
      </c>
      <c r="AC84" s="6">
        <v>0.88400000000000001</v>
      </c>
      <c r="AD84" s="6">
        <v>0.71099999999999997</v>
      </c>
      <c r="AE84" s="16"/>
      <c r="AF84" s="52" t="s">
        <v>15</v>
      </c>
      <c r="AG84" s="60"/>
      <c r="AH84" s="20" t="s">
        <v>16</v>
      </c>
      <c r="AI84" s="20" t="s">
        <v>17</v>
      </c>
    </row>
    <row r="85" spans="5:35" ht="15.6" customHeight="1" x14ac:dyDescent="0.25">
      <c r="E85" s="32"/>
      <c r="F85" s="4">
        <v>192</v>
      </c>
      <c r="G85" s="5">
        <v>0.164194256067276</v>
      </c>
      <c r="H85" s="5">
        <v>0.20204474031925199</v>
      </c>
      <c r="J85" s="32"/>
      <c r="K85" s="4">
        <v>192</v>
      </c>
      <c r="L85" s="5">
        <v>0.215</v>
      </c>
      <c r="M85" s="5">
        <v>0.26100000000000001</v>
      </c>
      <c r="O85" s="32"/>
      <c r="P85" s="4">
        <v>192</v>
      </c>
      <c r="Q85" s="5"/>
      <c r="R85" s="5"/>
      <c r="T85" s="32"/>
      <c r="U85" s="4">
        <v>192</v>
      </c>
      <c r="V85" s="5">
        <v>0.22500000000000001</v>
      </c>
      <c r="W85" s="5">
        <v>0.254</v>
      </c>
      <c r="Y85" s="6">
        <v>0.32</v>
      </c>
      <c r="Z85" s="6">
        <v>0.39800000000000002</v>
      </c>
      <c r="AA85" s="6">
        <v>0.28499999999999998</v>
      </c>
      <c r="AB85" s="6">
        <v>0.38</v>
      </c>
      <c r="AC85" s="6">
        <v>0.83399999999999996</v>
      </c>
      <c r="AD85" s="6">
        <v>0.69199999999999995</v>
      </c>
      <c r="AE85" s="16"/>
      <c r="AF85" s="52" t="s">
        <v>18</v>
      </c>
      <c r="AG85" s="4">
        <v>96</v>
      </c>
      <c r="AH85" s="6">
        <v>0.33300000000000002</v>
      </c>
      <c r="AI85" s="6">
        <v>0.36799999999999999</v>
      </c>
    </row>
    <row r="86" spans="5:35" ht="15.6" customHeight="1" x14ac:dyDescent="0.25">
      <c r="E86" s="32"/>
      <c r="F86" s="4">
        <v>336</v>
      </c>
      <c r="G86" s="5">
        <v>0.43557393550872803</v>
      </c>
      <c r="H86" s="5">
        <v>0.39259997010231018</v>
      </c>
      <c r="J86" s="32"/>
      <c r="K86" s="4">
        <v>336</v>
      </c>
      <c r="L86" s="9">
        <v>0.221</v>
      </c>
      <c r="M86" s="9">
        <v>0.27300000000000002</v>
      </c>
      <c r="O86" s="32"/>
      <c r="P86" s="4">
        <v>336</v>
      </c>
      <c r="Q86" s="5"/>
      <c r="R86" s="5"/>
      <c r="T86" s="32"/>
      <c r="U86" s="4">
        <v>336</v>
      </c>
      <c r="V86" s="5">
        <v>0.249</v>
      </c>
      <c r="W86" s="5">
        <v>0.27</v>
      </c>
      <c r="Y86" s="6">
        <v>0.35299999999999998</v>
      </c>
      <c r="Z86" s="6">
        <v>0.41499999999999998</v>
      </c>
      <c r="AA86" s="6">
        <v>0.28199999999999997</v>
      </c>
      <c r="AB86" s="6">
        <v>0.376</v>
      </c>
      <c r="AC86" s="6">
        <v>0.94099999999999995</v>
      </c>
      <c r="AD86" s="6">
        <v>0.72299999999999998</v>
      </c>
      <c r="AE86" s="16"/>
      <c r="AF86" s="50"/>
      <c r="AG86" s="4">
        <v>192</v>
      </c>
      <c r="AH86" s="6">
        <v>0.376</v>
      </c>
      <c r="AI86" s="6">
        <v>0.39</v>
      </c>
    </row>
    <row r="87" spans="5:35" ht="15.6" customHeight="1" x14ac:dyDescent="0.25">
      <c r="E87" s="32"/>
      <c r="F87" s="4">
        <v>720</v>
      </c>
      <c r="G87" s="5"/>
      <c r="H87" s="5"/>
      <c r="J87" s="32"/>
      <c r="K87" s="4">
        <v>720</v>
      </c>
      <c r="L87" s="5">
        <v>0.217</v>
      </c>
      <c r="M87" s="5">
        <v>0.27</v>
      </c>
      <c r="O87" s="32"/>
      <c r="P87" s="4">
        <v>720</v>
      </c>
      <c r="Q87" s="5"/>
      <c r="R87" s="5"/>
      <c r="T87" s="32"/>
      <c r="U87" s="4">
        <v>720</v>
      </c>
      <c r="V87" s="5">
        <v>0.25</v>
      </c>
      <c r="W87" s="5">
        <v>0.27300000000000002</v>
      </c>
      <c r="Y87" s="6">
        <v>0.35599999999999998</v>
      </c>
      <c r="Z87" s="6">
        <v>0.41299999999999998</v>
      </c>
      <c r="AA87" s="6">
        <v>0.35699999999999998</v>
      </c>
      <c r="AB87" s="6">
        <v>0.42699999999999999</v>
      </c>
      <c r="AC87" s="6">
        <v>0.88200000000000001</v>
      </c>
      <c r="AD87" s="6">
        <v>0.71699999999999997</v>
      </c>
      <c r="AE87" s="16"/>
      <c r="AF87" s="50"/>
      <c r="AG87" s="4">
        <v>336</v>
      </c>
      <c r="AH87" s="6">
        <v>0.40799999999999997</v>
      </c>
      <c r="AI87" s="6">
        <v>0.41299999999999998</v>
      </c>
    </row>
    <row r="88" spans="5:35" ht="15.6" customHeight="1" x14ac:dyDescent="0.25">
      <c r="E88" s="33"/>
      <c r="F88" s="4" t="s">
        <v>19</v>
      </c>
      <c r="G88" s="5"/>
      <c r="H88" s="5"/>
      <c r="J88" s="33"/>
      <c r="K88" s="4" t="s">
        <v>19</v>
      </c>
      <c r="L88" s="5">
        <v>0.20899999999999999</v>
      </c>
      <c r="M88" s="5">
        <v>0.26</v>
      </c>
      <c r="O88" s="33"/>
      <c r="P88" s="4" t="s">
        <v>19</v>
      </c>
      <c r="Q88" s="5"/>
      <c r="R88" s="5"/>
      <c r="T88" s="33"/>
      <c r="U88" s="4"/>
      <c r="V88" s="5"/>
      <c r="W88" s="5"/>
      <c r="Y88" s="6">
        <f t="shared" ref="Y88:AD88" si="7">AVERAGE(Y84:Y87)</f>
        <v>0.32974999999999999</v>
      </c>
      <c r="Z88" s="6">
        <f t="shared" si="7"/>
        <v>0.40100000000000002</v>
      </c>
      <c r="AA88" s="6">
        <f t="shared" si="7"/>
        <v>0.29149999999999998</v>
      </c>
      <c r="AB88" s="6">
        <f t="shared" si="7"/>
        <v>0.38124999999999998</v>
      </c>
      <c r="AC88" s="6">
        <f t="shared" si="7"/>
        <v>0.88524999999999998</v>
      </c>
      <c r="AD88" s="6">
        <f t="shared" si="7"/>
        <v>0.71074999999999999</v>
      </c>
      <c r="AE88" s="16"/>
      <c r="AF88" s="50"/>
      <c r="AG88" s="4">
        <v>720</v>
      </c>
      <c r="AH88" s="6">
        <v>0.47499999999999998</v>
      </c>
      <c r="AI88" s="6">
        <v>0.44800000000000001</v>
      </c>
    </row>
    <row r="89" spans="5:35" ht="15.6" customHeight="1" x14ac:dyDescent="0.25">
      <c r="E89" s="19" t="s">
        <v>27</v>
      </c>
      <c r="F89" s="4">
        <v>96</v>
      </c>
      <c r="G89" s="5"/>
      <c r="H89" s="5"/>
      <c r="J89" s="19" t="s">
        <v>27</v>
      </c>
      <c r="K89" s="4">
        <v>96</v>
      </c>
      <c r="L89" s="5">
        <v>0.38200000000000001</v>
      </c>
      <c r="M89" s="5">
        <v>0.25700000000000001</v>
      </c>
      <c r="O89" s="19" t="s">
        <v>27</v>
      </c>
      <c r="P89" s="4">
        <v>96</v>
      </c>
      <c r="Q89" s="5">
        <v>0.36399999999999999</v>
      </c>
      <c r="R89" s="5">
        <v>0.22900000000000001</v>
      </c>
      <c r="T89" s="19" t="s">
        <v>27</v>
      </c>
      <c r="U89" s="4">
        <v>96</v>
      </c>
      <c r="V89" s="5">
        <v>0.375</v>
      </c>
      <c r="W89" s="5">
        <v>0.25800000000000001</v>
      </c>
      <c r="Y89" s="6">
        <v>0.65</v>
      </c>
      <c r="Z89" s="6">
        <v>0.39600000000000002</v>
      </c>
      <c r="AA89" s="6">
        <v>0.58699999999999997</v>
      </c>
      <c r="AB89" s="6">
        <v>0.36599999999999999</v>
      </c>
      <c r="AC89" s="6">
        <v>0.61299999999999999</v>
      </c>
      <c r="AD89" s="6">
        <v>0.38800000000000001</v>
      </c>
      <c r="AE89" s="16"/>
      <c r="AF89" s="51"/>
      <c r="AG89" s="4" t="s">
        <v>19</v>
      </c>
      <c r="AH89" s="6">
        <v>0.39800000000000002</v>
      </c>
      <c r="AI89" s="6">
        <v>0.40500000000000003</v>
      </c>
    </row>
    <row r="90" spans="5:35" ht="15.6" customHeight="1" x14ac:dyDescent="0.25">
      <c r="E90" s="32"/>
      <c r="F90" s="4">
        <v>192</v>
      </c>
      <c r="G90" s="5"/>
      <c r="H90" s="5"/>
      <c r="J90" s="32"/>
      <c r="K90" s="4">
        <v>192</v>
      </c>
      <c r="L90" s="5">
        <v>0.40600000000000003</v>
      </c>
      <c r="M90" s="5">
        <v>0.26800000000000002</v>
      </c>
      <c r="O90" s="32"/>
      <c r="P90" s="4">
        <v>192</v>
      </c>
      <c r="Q90" s="5">
        <v>0.377</v>
      </c>
      <c r="R90" s="5">
        <v>0.23899999999999999</v>
      </c>
      <c r="T90" s="32"/>
      <c r="U90" s="4">
        <v>192</v>
      </c>
      <c r="V90" s="5">
        <v>0.39400000000000002</v>
      </c>
      <c r="W90" s="5">
        <v>0.26900000000000002</v>
      </c>
      <c r="Y90" s="6">
        <v>0.59799999999999998</v>
      </c>
      <c r="Z90" s="6">
        <v>0.37</v>
      </c>
      <c r="AA90" s="6">
        <v>0.60399999999999998</v>
      </c>
      <c r="AB90" s="6">
        <v>0.373</v>
      </c>
      <c r="AC90" s="6">
        <v>0.61599999999999999</v>
      </c>
      <c r="AD90" s="6">
        <v>0.38200000000000001</v>
      </c>
      <c r="AE90" s="16"/>
      <c r="AF90" s="52" t="s">
        <v>20</v>
      </c>
      <c r="AG90" s="4">
        <v>96</v>
      </c>
      <c r="AH90" s="6">
        <v>0.17899999999999999</v>
      </c>
      <c r="AI90" s="6">
        <v>0.26300000000000001</v>
      </c>
    </row>
    <row r="91" spans="5:35" ht="15.6" customHeight="1" x14ac:dyDescent="0.25">
      <c r="E91" s="32"/>
      <c r="F91" s="4">
        <v>336</v>
      </c>
      <c r="G91" s="5"/>
      <c r="H91" s="5"/>
      <c r="J91" s="32"/>
      <c r="K91" s="4">
        <v>336</v>
      </c>
      <c r="L91" s="5">
        <v>0.42299999999999999</v>
      </c>
      <c r="M91" s="5">
        <v>0.27300000000000002</v>
      </c>
      <c r="O91" s="32"/>
      <c r="P91" s="4">
        <v>336</v>
      </c>
      <c r="Q91" s="5">
        <v>0.38900000000000001</v>
      </c>
      <c r="R91" s="5">
        <v>0.24</v>
      </c>
      <c r="T91" s="32"/>
      <c r="U91" s="4">
        <v>336</v>
      </c>
      <c r="V91" s="5">
        <v>0.40600000000000003</v>
      </c>
      <c r="W91" s="5">
        <v>0.27400000000000002</v>
      </c>
      <c r="Y91" s="6">
        <v>0.60499999999999998</v>
      </c>
      <c r="Z91" s="6">
        <v>0.373</v>
      </c>
      <c r="AA91" s="6">
        <v>0.621</v>
      </c>
      <c r="AB91" s="6">
        <v>0.38300000000000001</v>
      </c>
      <c r="AC91" s="6">
        <v>0.622</v>
      </c>
      <c r="AD91" s="6">
        <v>0.33700000000000002</v>
      </c>
      <c r="AE91" s="16"/>
      <c r="AF91" s="50"/>
      <c r="AG91" s="4">
        <v>192</v>
      </c>
      <c r="AH91" s="6">
        <v>0.25</v>
      </c>
      <c r="AI91" s="6">
        <v>0.309</v>
      </c>
    </row>
    <row r="92" spans="5:35" ht="15.6" customHeight="1" x14ac:dyDescent="0.25">
      <c r="E92" s="32"/>
      <c r="F92" s="4">
        <v>720</v>
      </c>
      <c r="G92" s="5"/>
      <c r="H92" s="5"/>
      <c r="J92" s="32"/>
      <c r="K92" s="4">
        <v>720</v>
      </c>
      <c r="L92" s="5">
        <v>0.45900000000000002</v>
      </c>
      <c r="M92" s="5">
        <v>0.29099999999999998</v>
      </c>
      <c r="O92" s="32"/>
      <c r="P92" s="4">
        <v>720</v>
      </c>
      <c r="Q92" s="5">
        <v>0.433</v>
      </c>
      <c r="R92" s="5">
        <v>0.26900000000000002</v>
      </c>
      <c r="T92" s="32"/>
      <c r="U92" s="4">
        <v>720</v>
      </c>
      <c r="V92" s="5">
        <v>0.44</v>
      </c>
      <c r="W92" s="5">
        <v>0.28799999999999998</v>
      </c>
      <c r="Y92" s="6">
        <v>0.64500000000000002</v>
      </c>
      <c r="Z92" s="6">
        <v>0.39400000000000002</v>
      </c>
      <c r="AA92" s="6">
        <v>0.626</v>
      </c>
      <c r="AB92" s="6">
        <v>0.38200000000000001</v>
      </c>
      <c r="AC92" s="6">
        <v>0.66</v>
      </c>
      <c r="AD92" s="6">
        <v>0.40799999999999997</v>
      </c>
      <c r="AE92" s="16"/>
      <c r="AF92" s="50"/>
      <c r="AG92" s="4">
        <v>336</v>
      </c>
      <c r="AH92" s="6">
        <v>0.312</v>
      </c>
      <c r="AI92" s="6">
        <v>0.34899999999999998</v>
      </c>
    </row>
    <row r="93" spans="5:35" ht="15.6" customHeight="1" x14ac:dyDescent="0.25">
      <c r="E93" s="33"/>
      <c r="F93" s="4" t="s">
        <v>19</v>
      </c>
      <c r="G93" s="5"/>
      <c r="H93" s="5"/>
      <c r="J93" s="33"/>
      <c r="K93" s="4" t="s">
        <v>19</v>
      </c>
      <c r="L93" s="5">
        <v>0.41799999999999998</v>
      </c>
      <c r="M93" s="5">
        <v>0.27200000000000002</v>
      </c>
      <c r="O93" s="33"/>
      <c r="P93" s="4" t="s">
        <v>19</v>
      </c>
      <c r="Q93" s="5">
        <v>0.39100000000000001</v>
      </c>
      <c r="R93" s="5">
        <v>0.24399999999999999</v>
      </c>
      <c r="T93" s="33"/>
      <c r="U93" s="4"/>
      <c r="V93" s="5"/>
      <c r="W93" s="5"/>
      <c r="Y93" s="6">
        <v>0.625</v>
      </c>
      <c r="Z93" s="6">
        <v>0.38300000000000001</v>
      </c>
      <c r="AA93" s="6">
        <v>0.61</v>
      </c>
      <c r="AB93" s="6">
        <v>0.376</v>
      </c>
      <c r="AC93" s="6">
        <v>0.628</v>
      </c>
      <c r="AD93" s="6">
        <v>0.379</v>
      </c>
      <c r="AE93" s="16"/>
      <c r="AF93" s="50"/>
      <c r="AG93" s="4">
        <v>720</v>
      </c>
      <c r="AH93" s="6">
        <v>0.41099999999999998</v>
      </c>
      <c r="AI93" s="6">
        <v>0.40600000000000003</v>
      </c>
    </row>
    <row r="94" spans="5:35" ht="15.6" customHeight="1" x14ac:dyDescent="0.25">
      <c r="E94" s="19" t="s">
        <v>29</v>
      </c>
      <c r="F94" s="4">
        <v>12</v>
      </c>
      <c r="G94" s="5">
        <v>3.2330445945262909E-2</v>
      </c>
      <c r="H94" s="5">
        <v>0.12144386023283001</v>
      </c>
      <c r="J94" s="19" t="s">
        <v>29</v>
      </c>
      <c r="K94" s="4"/>
      <c r="L94" s="9"/>
      <c r="M94" s="9"/>
      <c r="O94" s="19" t="s">
        <v>29</v>
      </c>
      <c r="P94" s="4">
        <v>12</v>
      </c>
      <c r="Q94" s="5"/>
      <c r="R94" s="5"/>
      <c r="T94" s="19" t="s">
        <v>29</v>
      </c>
      <c r="U94" s="4"/>
      <c r="V94" s="5"/>
      <c r="W94" s="5"/>
      <c r="Y94" s="6">
        <v>0.14799999999999999</v>
      </c>
      <c r="Z94" s="6">
        <v>0.27200000000000002</v>
      </c>
      <c r="AA94" s="6">
        <v>0.13800000000000001</v>
      </c>
      <c r="AB94" s="6">
        <v>0.26200000000000001</v>
      </c>
      <c r="AC94" s="6">
        <v>0.42399999999999999</v>
      </c>
      <c r="AD94" s="6">
        <v>0.49099999999999999</v>
      </c>
      <c r="AE94" s="16"/>
      <c r="AF94" s="51"/>
      <c r="AG94" s="4" t="s">
        <v>19</v>
      </c>
      <c r="AH94" s="6">
        <v>0.28799999999999998</v>
      </c>
      <c r="AI94" s="6">
        <v>0.33200000000000002</v>
      </c>
    </row>
    <row r="95" spans="5:35" ht="15.6" customHeight="1" x14ac:dyDescent="0.25">
      <c r="E95" s="32"/>
      <c r="F95" s="4">
        <v>24</v>
      </c>
      <c r="G95" s="5">
        <v>4.0050484240055077E-2</v>
      </c>
      <c r="H95" s="5">
        <v>0.14138047397136691</v>
      </c>
      <c r="J95" s="32"/>
      <c r="K95" s="4"/>
      <c r="L95" s="5"/>
      <c r="M95" s="5"/>
      <c r="O95" s="32"/>
      <c r="P95" s="4">
        <v>24</v>
      </c>
      <c r="Q95" s="5"/>
      <c r="R95" s="5"/>
      <c r="T95" s="32"/>
      <c r="U95" s="4"/>
      <c r="V95" s="5"/>
      <c r="W95" s="5"/>
      <c r="Y95" s="6">
        <v>0.224</v>
      </c>
      <c r="Z95" s="6">
        <v>0.34</v>
      </c>
      <c r="AA95" s="6">
        <v>0.17699999999999999</v>
      </c>
      <c r="AB95" s="6">
        <v>0.29299999999999998</v>
      </c>
      <c r="AC95" s="6">
        <v>0.45900000000000002</v>
      </c>
      <c r="AD95" s="6">
        <v>0.50900000000000001</v>
      </c>
      <c r="AE95" s="16"/>
      <c r="AF95" s="52" t="s">
        <v>21</v>
      </c>
      <c r="AG95" s="4">
        <v>96</v>
      </c>
      <c r="AH95" s="6">
        <v>0.38600000000000001</v>
      </c>
      <c r="AI95" s="6">
        <v>0.40500000000000003</v>
      </c>
    </row>
    <row r="96" spans="5:35" ht="15.6" customHeight="1" x14ac:dyDescent="0.25">
      <c r="E96" s="32"/>
      <c r="F96" s="4">
        <v>48</v>
      </c>
      <c r="G96" s="5">
        <v>7.2198688983917236E-2</v>
      </c>
      <c r="H96" s="5">
        <v>0.19428779184818271</v>
      </c>
      <c r="J96" s="32"/>
      <c r="K96" s="4"/>
      <c r="L96" s="5"/>
      <c r="M96" s="5"/>
      <c r="O96" s="32"/>
      <c r="P96" s="4">
        <v>48</v>
      </c>
      <c r="Q96" s="5"/>
      <c r="R96" s="5"/>
      <c r="T96" s="32"/>
      <c r="U96" s="4"/>
      <c r="V96" s="5"/>
      <c r="W96" s="5"/>
      <c r="Y96" s="6">
        <v>0.35499999999999998</v>
      </c>
      <c r="Z96" s="6">
        <v>0.437</v>
      </c>
      <c r="AA96" s="6">
        <v>0.27</v>
      </c>
      <c r="AB96" s="6">
        <v>0.36799999999999999</v>
      </c>
      <c r="AC96" s="6">
        <v>0.64600000000000002</v>
      </c>
      <c r="AD96" s="6">
        <v>0.61</v>
      </c>
      <c r="AE96" s="16"/>
      <c r="AF96" s="50"/>
      <c r="AG96" s="4">
        <v>192</v>
      </c>
      <c r="AH96" s="6">
        <v>0.443</v>
      </c>
      <c r="AI96" s="6">
        <v>0.437</v>
      </c>
    </row>
    <row r="97" spans="5:35" ht="15.6" customHeight="1" x14ac:dyDescent="0.25">
      <c r="E97" s="32"/>
      <c r="F97" s="4">
        <v>96</v>
      </c>
      <c r="G97" s="5">
        <v>0.1016955599188805</v>
      </c>
      <c r="H97" s="5">
        <v>0.23579543828964231</v>
      </c>
      <c r="J97" s="32"/>
      <c r="K97" s="4"/>
      <c r="L97" s="5"/>
      <c r="M97" s="5"/>
      <c r="O97" s="32"/>
      <c r="P97" s="4">
        <v>96</v>
      </c>
      <c r="Q97" s="5"/>
      <c r="R97" s="5"/>
      <c r="T97" s="32"/>
      <c r="U97" s="4"/>
      <c r="V97" s="5"/>
      <c r="W97" s="5"/>
      <c r="Y97" s="6">
        <v>0.45200000000000001</v>
      </c>
      <c r="Z97" s="6">
        <v>0.504</v>
      </c>
      <c r="AA97" s="6">
        <v>0.34100000000000003</v>
      </c>
      <c r="AB97" s="6">
        <v>0.42699999999999999</v>
      </c>
      <c r="AC97" s="6">
        <v>0.91200000000000003</v>
      </c>
      <c r="AD97" s="6">
        <v>0.748</v>
      </c>
      <c r="AE97" s="16"/>
      <c r="AF97" s="50"/>
      <c r="AG97" s="4">
        <v>336</v>
      </c>
      <c r="AH97" s="6">
        <v>0.48899999999999999</v>
      </c>
      <c r="AI97" s="6">
        <v>0.46800000000000003</v>
      </c>
    </row>
    <row r="98" spans="5:35" ht="15.6" customHeight="1" x14ac:dyDescent="0.25">
      <c r="E98" s="33"/>
      <c r="F98" s="4" t="s">
        <v>19</v>
      </c>
      <c r="G98" s="5">
        <v>6.1568794772028923E-2</v>
      </c>
      <c r="H98" s="5">
        <v>0.17322689108550551</v>
      </c>
      <c r="J98" s="33"/>
      <c r="K98" s="4"/>
      <c r="L98" s="5"/>
      <c r="M98" s="5"/>
      <c r="O98" s="33"/>
      <c r="P98" s="4" t="s">
        <v>19</v>
      </c>
      <c r="Q98" s="5"/>
      <c r="R98" s="5"/>
      <c r="T98" s="33"/>
      <c r="U98" s="4"/>
      <c r="V98" s="5"/>
      <c r="W98" s="5"/>
      <c r="Y98" s="6">
        <v>0.29499999999999998</v>
      </c>
      <c r="Z98" s="6">
        <v>0.38800000000000001</v>
      </c>
      <c r="AA98" s="6">
        <v>0.23100000000000001</v>
      </c>
      <c r="AB98" s="6">
        <v>0.33700000000000002</v>
      </c>
      <c r="AC98" s="6">
        <v>0.61</v>
      </c>
      <c r="AD98" s="6">
        <v>0.59</v>
      </c>
      <c r="AE98" s="16"/>
      <c r="AF98" s="50"/>
      <c r="AG98" s="4">
        <v>720</v>
      </c>
      <c r="AH98" s="6">
        <v>0.502</v>
      </c>
      <c r="AI98" s="6">
        <v>0.48899999999999999</v>
      </c>
    </row>
    <row r="99" spans="5:35" ht="15.6" customHeight="1" x14ac:dyDescent="0.25">
      <c r="E99" s="19" t="s">
        <v>31</v>
      </c>
      <c r="F99" s="4">
        <v>12</v>
      </c>
      <c r="G99" s="5">
        <v>2.5132890790700909E-2</v>
      </c>
      <c r="H99" s="5">
        <v>0.1123222038149834</v>
      </c>
      <c r="J99" s="19" t="s">
        <v>31</v>
      </c>
      <c r="K99" s="4"/>
      <c r="L99" s="5"/>
      <c r="M99" s="5"/>
      <c r="O99" s="19" t="s">
        <v>31</v>
      </c>
      <c r="P99" s="4">
        <v>12</v>
      </c>
      <c r="Q99" s="5"/>
      <c r="R99" s="5"/>
      <c r="T99" s="19" t="s">
        <v>31</v>
      </c>
      <c r="U99" s="4"/>
      <c r="V99" s="5"/>
      <c r="W99" s="5"/>
      <c r="Y99" s="6">
        <v>0.154</v>
      </c>
      <c r="Z99" s="6">
        <v>0.27600000000000002</v>
      </c>
      <c r="AA99" s="6">
        <v>0.17299999999999999</v>
      </c>
      <c r="AB99" s="6">
        <v>0.27300000000000002</v>
      </c>
      <c r="AC99" s="6">
        <v>0.436</v>
      </c>
      <c r="AD99" s="6">
        <v>0.48499999999999999</v>
      </c>
      <c r="AE99" s="16"/>
      <c r="AF99" s="51"/>
      <c r="AG99" s="4" t="s">
        <v>19</v>
      </c>
      <c r="AH99" s="6">
        <v>0.45500000000000002</v>
      </c>
      <c r="AI99" s="6">
        <v>0.45</v>
      </c>
    </row>
    <row r="100" spans="5:35" ht="15.6" customHeight="1" x14ac:dyDescent="0.25">
      <c r="E100" s="32"/>
      <c r="F100" s="4">
        <v>24</v>
      </c>
      <c r="G100" s="5">
        <v>5.89296855032444E-2</v>
      </c>
      <c r="H100" s="5">
        <v>0.1556760519742966</v>
      </c>
      <c r="J100" s="32"/>
      <c r="K100" s="4"/>
      <c r="L100" s="5"/>
      <c r="M100" s="5"/>
      <c r="O100" s="32"/>
      <c r="P100" s="4">
        <v>24</v>
      </c>
      <c r="Q100" s="5"/>
      <c r="R100" s="5"/>
      <c r="T100" s="32"/>
      <c r="U100" s="4"/>
      <c r="V100" s="5"/>
      <c r="W100" s="5"/>
      <c r="Y100" s="6">
        <v>0.248</v>
      </c>
      <c r="Z100" s="6">
        <v>0.35299999999999998</v>
      </c>
      <c r="AA100" s="6">
        <v>0.21</v>
      </c>
      <c r="AB100" s="6">
        <v>0.30099999999999999</v>
      </c>
      <c r="AC100" s="6">
        <v>0.46700000000000003</v>
      </c>
      <c r="AD100" s="6">
        <v>0.502</v>
      </c>
      <c r="AE100" s="16"/>
      <c r="AF100" s="52" t="s">
        <v>22</v>
      </c>
      <c r="AG100" s="4">
        <v>96</v>
      </c>
      <c r="AH100" s="6">
        <v>0.29599999999999999</v>
      </c>
      <c r="AI100" s="6">
        <v>0.34799999999999998</v>
      </c>
    </row>
    <row r="101" spans="5:35" ht="15.6" customHeight="1" x14ac:dyDescent="0.25">
      <c r="E101" s="32"/>
      <c r="F101" s="4">
        <v>48</v>
      </c>
      <c r="G101" s="5">
        <v>0.1064946427941322</v>
      </c>
      <c r="H101" s="5">
        <v>0.21635715663433069</v>
      </c>
      <c r="J101" s="32"/>
      <c r="K101" s="4"/>
      <c r="L101" s="5"/>
      <c r="M101" s="5"/>
      <c r="O101" s="32"/>
      <c r="P101" s="4">
        <v>48</v>
      </c>
      <c r="Q101" s="5"/>
      <c r="R101" s="5"/>
      <c r="T101" s="32"/>
      <c r="U101" s="4"/>
      <c r="V101" s="5"/>
      <c r="W101" s="5"/>
      <c r="Y101" s="6">
        <v>0.44</v>
      </c>
      <c r="Z101" s="6">
        <v>0.47</v>
      </c>
      <c r="AA101" s="6">
        <v>0.32</v>
      </c>
      <c r="AB101" s="6">
        <v>0.39400000000000002</v>
      </c>
      <c r="AC101" s="6">
        <v>0.96599999999999997</v>
      </c>
      <c r="AD101" s="6">
        <v>0.73299999999999998</v>
      </c>
      <c r="AE101" s="16"/>
      <c r="AF101" s="50"/>
      <c r="AG101" s="4">
        <v>192</v>
      </c>
      <c r="AH101" s="6">
        <v>0.376</v>
      </c>
      <c r="AI101" s="6">
        <v>0.39600000000000002</v>
      </c>
    </row>
    <row r="102" spans="5:35" ht="15.6" customHeight="1" x14ac:dyDescent="0.25">
      <c r="E102" s="32"/>
      <c r="F102" s="4">
        <v>96</v>
      </c>
      <c r="G102" s="5">
        <v>0.13357676565647131</v>
      </c>
      <c r="H102" s="5">
        <v>0.25044804811477661</v>
      </c>
      <c r="J102" s="32"/>
      <c r="K102" s="4"/>
      <c r="L102" s="9"/>
      <c r="M102" s="9"/>
      <c r="O102" s="32"/>
      <c r="P102" s="4">
        <v>96</v>
      </c>
      <c r="Q102" s="5"/>
      <c r="R102" s="5"/>
      <c r="T102" s="32"/>
      <c r="U102" s="4"/>
      <c r="V102" s="5"/>
      <c r="W102" s="5"/>
      <c r="Y102" s="6">
        <v>0.67400000000000004</v>
      </c>
      <c r="Z102" s="6">
        <v>0.56499999999999995</v>
      </c>
      <c r="AA102" s="6">
        <v>0.442</v>
      </c>
      <c r="AB102" s="6">
        <v>0.46500000000000002</v>
      </c>
      <c r="AC102" s="6">
        <v>1.385</v>
      </c>
      <c r="AD102" s="6">
        <v>0.91500000000000004</v>
      </c>
      <c r="AE102" s="16"/>
      <c r="AF102" s="50"/>
      <c r="AG102" s="4">
        <v>336</v>
      </c>
      <c r="AH102" s="6">
        <v>0.42399999999999999</v>
      </c>
      <c r="AI102" s="6">
        <v>0.43099999999999999</v>
      </c>
    </row>
    <row r="103" spans="5:35" ht="15.6" customHeight="1" x14ac:dyDescent="0.25">
      <c r="E103" s="33"/>
      <c r="F103" s="4" t="s">
        <v>19</v>
      </c>
      <c r="G103" s="5">
        <v>8.1033496186137199E-2</v>
      </c>
      <c r="H103" s="5">
        <v>0.1837008651345968</v>
      </c>
      <c r="J103" s="33"/>
      <c r="K103" s="4"/>
      <c r="L103" s="5"/>
      <c r="M103" s="5"/>
      <c r="O103" s="33"/>
      <c r="P103" s="4" t="s">
        <v>19</v>
      </c>
      <c r="Q103" s="5"/>
      <c r="R103" s="5"/>
      <c r="T103" s="33"/>
      <c r="U103" s="4"/>
      <c r="V103" s="5"/>
      <c r="W103" s="5"/>
      <c r="Y103" s="6">
        <f t="shared" ref="Y103:AD103" si="8">AVERAGE(Y99:Y102)</f>
        <v>0.379</v>
      </c>
      <c r="Z103" s="6">
        <f t="shared" si="8"/>
        <v>0.41599999999999998</v>
      </c>
      <c r="AA103" s="6">
        <f t="shared" si="8"/>
        <v>0.28625</v>
      </c>
      <c r="AB103" s="6">
        <f t="shared" si="8"/>
        <v>0.35825000000000001</v>
      </c>
      <c r="AC103" s="6">
        <f t="shared" si="8"/>
        <v>0.8135</v>
      </c>
      <c r="AD103" s="6">
        <f t="shared" si="8"/>
        <v>0.65874999999999995</v>
      </c>
      <c r="AE103" s="16"/>
      <c r="AF103" s="50"/>
      <c r="AG103" s="4">
        <v>720</v>
      </c>
      <c r="AH103" s="6">
        <v>0.42599999999999999</v>
      </c>
      <c r="AI103" s="6">
        <v>0.44400000000000001</v>
      </c>
    </row>
    <row r="104" spans="5:35" ht="15.6" customHeight="1" x14ac:dyDescent="0.25">
      <c r="AC104" s="16"/>
      <c r="AD104" s="16"/>
      <c r="AE104" s="16"/>
      <c r="AF104" s="51"/>
      <c r="AG104" s="4" t="s">
        <v>19</v>
      </c>
      <c r="AH104" s="6">
        <v>0.38100000000000001</v>
      </c>
      <c r="AI104" s="6">
        <v>0.40500000000000003</v>
      </c>
    </row>
    <row r="105" spans="5:35" ht="15.6" customHeight="1" x14ac:dyDescent="0.25">
      <c r="AE105" s="16"/>
      <c r="AF105" s="72" t="s">
        <v>23</v>
      </c>
      <c r="AG105" s="4">
        <v>96</v>
      </c>
      <c r="AH105" s="6">
        <v>0.13900000000000001</v>
      </c>
      <c r="AI105" s="6">
        <v>0.23499999999999999</v>
      </c>
    </row>
    <row r="106" spans="5:35" ht="15.6" customHeight="1" x14ac:dyDescent="0.25">
      <c r="AE106" s="16"/>
      <c r="AF106" s="50"/>
      <c r="AG106" s="4">
        <v>192</v>
      </c>
      <c r="AH106" s="6">
        <v>0.159</v>
      </c>
      <c r="AI106" s="6">
        <v>0.255</v>
      </c>
    </row>
    <row r="107" spans="5:35" ht="15.6" customHeight="1" x14ac:dyDescent="0.25">
      <c r="E107" s="52" t="s">
        <v>27</v>
      </c>
      <c r="F107" s="4">
        <v>96</v>
      </c>
      <c r="G107" s="43">
        <v>0.42899999999999999</v>
      </c>
      <c r="H107" s="43">
        <v>0.29399999999999998</v>
      </c>
      <c r="I107" s="6">
        <v>0.38200000000000001</v>
      </c>
      <c r="J107" s="6">
        <v>0.26100000000000001</v>
      </c>
      <c r="K107" s="6">
        <v>0.39500000000000002</v>
      </c>
      <c r="L107" s="6">
        <v>0.26800000000000002</v>
      </c>
      <c r="M107" s="6">
        <v>0.46200000000000002</v>
      </c>
      <c r="N107" s="6">
        <v>0.29499999999999998</v>
      </c>
      <c r="O107" s="6">
        <v>0.52200000000000002</v>
      </c>
      <c r="P107" s="6">
        <v>0.28999999999999998</v>
      </c>
      <c r="Q107" s="6">
        <v>0.80500000000000005</v>
      </c>
      <c r="R107" s="6">
        <v>0.49299999999999999</v>
      </c>
      <c r="S107" s="6">
        <v>0.59299999999999997</v>
      </c>
      <c r="T107" s="6">
        <v>0.32100000000000001</v>
      </c>
      <c r="U107" s="6">
        <v>0.64900000000000002</v>
      </c>
      <c r="V107" s="6">
        <v>0.38900000000000001</v>
      </c>
      <c r="AE107" s="16"/>
      <c r="AF107" s="50"/>
      <c r="AG107" s="4">
        <v>336</v>
      </c>
      <c r="AH107" s="6">
        <v>0.17599999999999999</v>
      </c>
      <c r="AI107" s="6">
        <v>0.27200000000000002</v>
      </c>
    </row>
    <row r="108" spans="5:35" ht="15.6" customHeight="1" x14ac:dyDescent="0.25">
      <c r="E108" s="50"/>
      <c r="F108" s="4">
        <v>192</v>
      </c>
      <c r="G108" s="43">
        <v>0.44900000000000001</v>
      </c>
      <c r="H108" s="43">
        <v>0.30099999999999999</v>
      </c>
      <c r="I108" s="6">
        <v>0.39600000000000002</v>
      </c>
      <c r="J108" s="6">
        <v>0.26700000000000002</v>
      </c>
      <c r="K108" s="6">
        <v>0.41699999999999998</v>
      </c>
      <c r="L108" s="6">
        <v>0.27600000000000002</v>
      </c>
      <c r="M108" s="6">
        <v>0.46600000000000003</v>
      </c>
      <c r="N108" s="6">
        <v>0.29599999999999999</v>
      </c>
      <c r="O108" s="6">
        <v>0.53</v>
      </c>
      <c r="P108" s="6">
        <v>0.29299999999999998</v>
      </c>
      <c r="Q108" s="6">
        <v>0.75600000000000001</v>
      </c>
      <c r="R108" s="6">
        <v>0.47399999999999998</v>
      </c>
      <c r="S108" s="6">
        <v>0.61699999999999999</v>
      </c>
      <c r="T108" s="6">
        <v>0.33600000000000002</v>
      </c>
      <c r="U108" s="6">
        <v>0.60099999999999998</v>
      </c>
      <c r="V108" s="6">
        <v>0.36599999999999999</v>
      </c>
      <c r="AE108" s="16"/>
      <c r="AF108" s="50"/>
      <c r="AG108" s="4">
        <v>720</v>
      </c>
      <c r="AH108" s="6">
        <v>0.20399999999999999</v>
      </c>
      <c r="AI108" s="6">
        <v>0.29799999999999999</v>
      </c>
    </row>
    <row r="109" spans="5:35" ht="15.6" customHeight="1" x14ac:dyDescent="0.25">
      <c r="E109" s="50"/>
      <c r="F109" s="4">
        <v>336</v>
      </c>
      <c r="G109" s="43">
        <v>0.46800000000000003</v>
      </c>
      <c r="H109" s="43">
        <v>0.31</v>
      </c>
      <c r="I109" s="6">
        <v>0.41699999999999998</v>
      </c>
      <c r="J109" s="6">
        <v>0.27600000000000002</v>
      </c>
      <c r="K109" s="6">
        <v>0.433</v>
      </c>
      <c r="L109" s="6">
        <v>0.28299999999999997</v>
      </c>
      <c r="M109" s="6">
        <v>0.48199999999999998</v>
      </c>
      <c r="N109" s="6">
        <v>0.30399999999999999</v>
      </c>
      <c r="O109" s="6">
        <v>0.55800000000000005</v>
      </c>
      <c r="P109" s="6">
        <v>0.30499999999999999</v>
      </c>
      <c r="Q109" s="6">
        <v>0.76200000000000001</v>
      </c>
      <c r="R109" s="6">
        <v>0.47699999999999998</v>
      </c>
      <c r="S109" s="6">
        <v>0.629</v>
      </c>
      <c r="T109" s="6">
        <v>0.33600000000000002</v>
      </c>
      <c r="U109" s="6">
        <v>0.60899999999999999</v>
      </c>
      <c r="V109" s="6">
        <v>0.36899999999999999</v>
      </c>
      <c r="AE109" s="16"/>
      <c r="AF109" s="51"/>
      <c r="AG109" s="4" t="s">
        <v>19</v>
      </c>
      <c r="AH109" s="6">
        <v>0.16900000000000001</v>
      </c>
      <c r="AI109" s="6">
        <v>0.26500000000000001</v>
      </c>
    </row>
    <row r="110" spans="5:35" ht="15.6" customHeight="1" x14ac:dyDescent="0.25">
      <c r="E110" s="50"/>
      <c r="F110" s="4">
        <v>720</v>
      </c>
      <c r="G110" s="43">
        <v>0.495</v>
      </c>
      <c r="H110" s="43">
        <v>0.32700000000000001</v>
      </c>
      <c r="I110" s="6">
        <v>0.46</v>
      </c>
      <c r="J110" s="6">
        <v>0.3</v>
      </c>
      <c r="K110" s="6">
        <v>0.46700000000000003</v>
      </c>
      <c r="L110" s="6">
        <v>0.30199999999999999</v>
      </c>
      <c r="M110" s="6">
        <v>0.51400000000000001</v>
      </c>
      <c r="N110" s="6">
        <v>0.32200000000000001</v>
      </c>
      <c r="O110" s="6">
        <v>0.58899999999999997</v>
      </c>
      <c r="P110" s="6">
        <v>0.32800000000000001</v>
      </c>
      <c r="Q110" s="6">
        <v>0.71899999999999997</v>
      </c>
      <c r="R110" s="6">
        <v>0.44900000000000001</v>
      </c>
      <c r="S110" s="6">
        <v>0.64</v>
      </c>
      <c r="T110" s="6">
        <v>0.35</v>
      </c>
      <c r="U110" s="6">
        <v>0.64700000000000002</v>
      </c>
      <c r="V110" s="6">
        <v>0.38700000000000001</v>
      </c>
      <c r="AC110" s="17"/>
      <c r="AD110" s="17"/>
      <c r="AE110" s="16"/>
      <c r="AF110" s="52" t="s">
        <v>24</v>
      </c>
      <c r="AG110" s="4">
        <v>96</v>
      </c>
      <c r="AH110" s="6">
        <v>8.5999999999999993E-2</v>
      </c>
      <c r="AI110" s="6">
        <v>0.20699999999999999</v>
      </c>
    </row>
    <row r="111" spans="5:35" ht="15.6" customHeight="1" x14ac:dyDescent="0.25">
      <c r="E111" s="51"/>
      <c r="F111" s="4" t="s">
        <v>19</v>
      </c>
      <c r="G111" s="6">
        <v>0.46</v>
      </c>
      <c r="H111" s="6">
        <v>0.308</v>
      </c>
      <c r="I111" s="6">
        <v>0.41399999999999998</v>
      </c>
      <c r="J111" s="6">
        <v>0.27600000000000002</v>
      </c>
      <c r="K111" s="6">
        <v>0.42799999999999999</v>
      </c>
      <c r="L111" s="6">
        <v>0.28199999999999997</v>
      </c>
      <c r="M111" s="6">
        <v>0.48099999999999998</v>
      </c>
      <c r="N111" s="6">
        <v>0.30399999999999999</v>
      </c>
      <c r="O111" s="6">
        <v>0.55000000000000004</v>
      </c>
      <c r="P111" s="6">
        <v>0.30399999999999999</v>
      </c>
      <c r="Q111" s="6">
        <v>0.76</v>
      </c>
      <c r="R111" s="6">
        <v>0.47299999999999998</v>
      </c>
      <c r="S111" s="6">
        <v>0.62</v>
      </c>
      <c r="T111" s="6">
        <v>0.33600000000000002</v>
      </c>
      <c r="U111" s="6">
        <v>0.626</v>
      </c>
      <c r="V111" s="6">
        <v>0.378</v>
      </c>
      <c r="AC111" s="16"/>
      <c r="AD111" s="16"/>
      <c r="AE111" s="16"/>
      <c r="AF111" s="50"/>
      <c r="AG111" s="4">
        <v>192</v>
      </c>
      <c r="AH111" s="6">
        <v>0.182</v>
      </c>
      <c r="AI111" s="6">
        <v>0.30399999999999999</v>
      </c>
    </row>
    <row r="112" spans="5:35" ht="15.6" customHeight="1" x14ac:dyDescent="0.25">
      <c r="AC112" s="16"/>
      <c r="AD112" s="16"/>
      <c r="AE112" s="16"/>
      <c r="AF112" s="50"/>
      <c r="AG112" s="4">
        <v>336</v>
      </c>
      <c r="AH112" s="6">
        <v>0.33200000000000002</v>
      </c>
      <c r="AI112" s="6">
        <v>0.41799999999999998</v>
      </c>
    </row>
    <row r="113" spans="29:35" ht="15.6" customHeight="1" x14ac:dyDescent="0.25">
      <c r="AC113" s="16"/>
      <c r="AD113" s="16"/>
      <c r="AE113" s="16"/>
      <c r="AF113" s="50"/>
      <c r="AG113" s="4">
        <v>720</v>
      </c>
      <c r="AH113" s="6">
        <v>0.86699999999999999</v>
      </c>
      <c r="AI113" s="6">
        <v>0.70299999999999996</v>
      </c>
    </row>
    <row r="114" spans="29:35" ht="15.6" customHeight="1" x14ac:dyDescent="0.25">
      <c r="AC114" s="16"/>
      <c r="AD114" s="16"/>
      <c r="AE114" s="16"/>
      <c r="AF114" s="51"/>
      <c r="AG114" s="4" t="s">
        <v>19</v>
      </c>
      <c r="AH114" s="6">
        <v>0.36699999999999999</v>
      </c>
      <c r="AI114" s="6">
        <v>0.40799999999999997</v>
      </c>
    </row>
    <row r="115" spans="29:35" ht="15.6" customHeight="1" x14ac:dyDescent="0.25">
      <c r="AC115" s="16"/>
      <c r="AD115" s="16"/>
      <c r="AE115" s="16"/>
      <c r="AF115" s="52" t="s">
        <v>25</v>
      </c>
      <c r="AG115" s="4">
        <v>96</v>
      </c>
      <c r="AH115" s="6">
        <v>0.16900000000000001</v>
      </c>
      <c r="AI115" s="6">
        <v>0.21</v>
      </c>
    </row>
    <row r="116" spans="29:35" ht="15.6" customHeight="1" x14ac:dyDescent="0.25">
      <c r="AC116" s="16"/>
      <c r="AD116" s="16"/>
      <c r="AE116" s="16"/>
      <c r="AF116" s="50"/>
      <c r="AG116" s="4">
        <v>192</v>
      </c>
      <c r="AH116" s="6">
        <v>0.214</v>
      </c>
      <c r="AI116" s="6">
        <v>0.253</v>
      </c>
    </row>
    <row r="117" spans="29:35" ht="15.6" customHeight="1" x14ac:dyDescent="0.25">
      <c r="AC117" s="16"/>
      <c r="AD117" s="16"/>
      <c r="AE117" s="16"/>
      <c r="AF117" s="50"/>
      <c r="AG117" s="4">
        <v>336</v>
      </c>
      <c r="AH117" s="6">
        <v>0.27400000000000002</v>
      </c>
      <c r="AI117" s="6">
        <v>0.29599999999999999</v>
      </c>
    </row>
    <row r="118" spans="29:35" ht="15.6" customHeight="1" x14ac:dyDescent="0.25">
      <c r="AC118" s="17"/>
      <c r="AD118" s="17"/>
      <c r="AE118" s="16"/>
      <c r="AF118" s="50"/>
      <c r="AG118" s="4">
        <v>720</v>
      </c>
      <c r="AH118" s="6">
        <v>0.35299999999999998</v>
      </c>
      <c r="AI118" s="6">
        <v>0.34799999999999998</v>
      </c>
    </row>
    <row r="119" spans="29:35" ht="15.6" customHeight="1" x14ac:dyDescent="0.25">
      <c r="AC119" s="16"/>
      <c r="AD119" s="16"/>
      <c r="AE119" s="16"/>
      <c r="AF119" s="51"/>
      <c r="AG119" s="4" t="s">
        <v>19</v>
      </c>
      <c r="AH119" s="6">
        <v>0.253</v>
      </c>
      <c r="AI119" s="6">
        <v>0.27700000000000002</v>
      </c>
    </row>
    <row r="120" spans="29:35" ht="15.6" customHeight="1" x14ac:dyDescent="0.25">
      <c r="AF120" s="52" t="s">
        <v>26</v>
      </c>
      <c r="AG120" s="4">
        <v>96</v>
      </c>
      <c r="AH120" s="44">
        <v>0.20499999999999999</v>
      </c>
      <c r="AI120" s="44">
        <v>0.24399999999999999</v>
      </c>
    </row>
    <row r="121" spans="29:35" ht="15.6" customHeight="1" x14ac:dyDescent="0.25">
      <c r="AF121" s="50"/>
      <c r="AG121" s="4">
        <v>192</v>
      </c>
      <c r="AH121" s="44">
        <v>0.23699999999999999</v>
      </c>
      <c r="AI121" s="44">
        <v>0.27</v>
      </c>
    </row>
    <row r="122" spans="29:35" ht="15.6" customHeight="1" x14ac:dyDescent="0.25">
      <c r="AF122" s="50"/>
      <c r="AG122" s="4">
        <v>336</v>
      </c>
      <c r="AH122" s="44">
        <v>0.25800000000000001</v>
      </c>
      <c r="AI122" s="44">
        <v>0.28799999999999998</v>
      </c>
    </row>
    <row r="123" spans="29:35" ht="15.6" customHeight="1" x14ac:dyDescent="0.25">
      <c r="AF123" s="50"/>
      <c r="AG123" s="4">
        <v>720</v>
      </c>
      <c r="AH123" s="44">
        <v>0.26</v>
      </c>
      <c r="AI123" s="44">
        <v>0.28799999999999998</v>
      </c>
    </row>
    <row r="124" spans="29:35" ht="15.6" customHeight="1" x14ac:dyDescent="0.25">
      <c r="AF124" s="51"/>
      <c r="AG124" s="4" t="s">
        <v>19</v>
      </c>
      <c r="AH124" s="44">
        <v>0.24</v>
      </c>
      <c r="AI124" s="44">
        <v>0.27300000000000002</v>
      </c>
    </row>
    <row r="125" spans="29:35" ht="15.6" customHeight="1" x14ac:dyDescent="0.25">
      <c r="AF125" s="52" t="s">
        <v>27</v>
      </c>
      <c r="AG125" s="4">
        <v>96</v>
      </c>
      <c r="AH125" s="44">
        <v>0.38200000000000001</v>
      </c>
      <c r="AI125" s="44">
        <v>0.26100000000000001</v>
      </c>
    </row>
    <row r="126" spans="29:35" ht="15.6" customHeight="1" x14ac:dyDescent="0.25">
      <c r="AF126" s="50"/>
      <c r="AG126" s="4">
        <v>192</v>
      </c>
      <c r="AH126" s="44">
        <v>0.39600000000000002</v>
      </c>
      <c r="AI126" s="44">
        <v>0.26700000000000002</v>
      </c>
    </row>
    <row r="127" spans="29:35" ht="15.6" customHeight="1" x14ac:dyDescent="0.25">
      <c r="AF127" s="50"/>
      <c r="AG127" s="4">
        <v>336</v>
      </c>
      <c r="AH127" s="44">
        <v>0.41699999999999998</v>
      </c>
      <c r="AI127" s="44">
        <v>0.27600000000000002</v>
      </c>
    </row>
    <row r="128" spans="29:35" ht="15.6" customHeight="1" x14ac:dyDescent="0.25">
      <c r="AF128" s="50"/>
      <c r="AG128" s="4">
        <v>720</v>
      </c>
      <c r="AH128" s="44">
        <v>0.46</v>
      </c>
      <c r="AI128" s="44">
        <v>0.3</v>
      </c>
    </row>
    <row r="129" spans="32:35" ht="15.6" customHeight="1" x14ac:dyDescent="0.25">
      <c r="AF129" s="51"/>
      <c r="AG129" s="4" t="s">
        <v>19</v>
      </c>
      <c r="AH129" s="44">
        <v>0.41399999999999998</v>
      </c>
      <c r="AI129" s="44">
        <v>0.27600000000000002</v>
      </c>
    </row>
    <row r="130" spans="32:35" ht="15.6" customHeight="1" x14ac:dyDescent="0.25">
      <c r="AF130" s="52" t="s">
        <v>28</v>
      </c>
      <c r="AG130" s="4">
        <v>12</v>
      </c>
      <c r="AH130" s="6">
        <v>6.5000000000000002E-2</v>
      </c>
      <c r="AI130" s="6">
        <v>0.16900000000000001</v>
      </c>
    </row>
    <row r="131" spans="32:35" ht="15.6" customHeight="1" x14ac:dyDescent="0.25">
      <c r="AF131" s="50"/>
      <c r="AG131" s="4">
        <v>24</v>
      </c>
      <c r="AH131" s="6">
        <v>8.6999999999999994E-2</v>
      </c>
      <c r="AI131" s="6">
        <v>0.19600000000000001</v>
      </c>
    </row>
    <row r="132" spans="32:35" ht="15.6" customHeight="1" x14ac:dyDescent="0.25">
      <c r="AF132" s="50"/>
      <c r="AG132" s="4">
        <v>48</v>
      </c>
      <c r="AH132" s="6">
        <v>0.13300000000000001</v>
      </c>
      <c r="AI132" s="6">
        <v>0.24299999999999999</v>
      </c>
    </row>
    <row r="133" spans="32:35" ht="15.6" customHeight="1" x14ac:dyDescent="0.25">
      <c r="AF133" s="50"/>
      <c r="AG133" s="4">
        <v>96</v>
      </c>
      <c r="AH133" s="6">
        <v>0.20100000000000001</v>
      </c>
      <c r="AI133" s="6">
        <v>0.30499999999999999</v>
      </c>
    </row>
    <row r="134" spans="32:35" ht="15.6" customHeight="1" x14ac:dyDescent="0.25">
      <c r="AF134" s="51"/>
      <c r="AG134" s="4" t="s">
        <v>19</v>
      </c>
      <c r="AH134" s="6">
        <v>0.121</v>
      </c>
      <c r="AI134" s="6">
        <v>0.22800000000000001</v>
      </c>
    </row>
    <row r="135" spans="32:35" ht="15.6" customHeight="1" x14ac:dyDescent="0.25">
      <c r="AF135" s="52" t="s">
        <v>29</v>
      </c>
      <c r="AG135" s="4">
        <v>12</v>
      </c>
      <c r="AH135" s="6">
        <v>7.5999999999999998E-2</v>
      </c>
      <c r="AI135" s="6">
        <v>0.18</v>
      </c>
    </row>
    <row r="136" spans="32:35" ht="15.6" customHeight="1" x14ac:dyDescent="0.25">
      <c r="AF136" s="50"/>
      <c r="AG136" s="4">
        <v>24</v>
      </c>
      <c r="AH136" s="6">
        <v>8.4000000000000005E-2</v>
      </c>
      <c r="AI136" s="6">
        <v>0.193</v>
      </c>
    </row>
    <row r="137" spans="32:35" ht="15.6" customHeight="1" x14ac:dyDescent="0.25">
      <c r="AF137" s="50"/>
      <c r="AG137" s="4">
        <v>48</v>
      </c>
      <c r="AH137" s="6">
        <v>0.115</v>
      </c>
      <c r="AI137" s="6">
        <v>0.224</v>
      </c>
    </row>
    <row r="138" spans="32:35" ht="15.6" customHeight="1" x14ac:dyDescent="0.25">
      <c r="AF138" s="50"/>
      <c r="AG138" s="4">
        <v>96</v>
      </c>
      <c r="AH138" s="6">
        <v>0.13700000000000001</v>
      </c>
      <c r="AI138" s="6">
        <v>0.248</v>
      </c>
    </row>
    <row r="139" spans="32:35" ht="15.6" customHeight="1" x14ac:dyDescent="0.25">
      <c r="AF139" s="51"/>
      <c r="AG139" s="4" t="s">
        <v>19</v>
      </c>
      <c r="AH139" s="6">
        <v>0.10299999999999999</v>
      </c>
      <c r="AI139" s="6">
        <v>0.21099999999999999</v>
      </c>
    </row>
    <row r="140" spans="32:35" ht="15.6" customHeight="1" x14ac:dyDescent="0.25">
      <c r="AF140" s="52" t="s">
        <v>30</v>
      </c>
      <c r="AG140" s="4">
        <v>12</v>
      </c>
      <c r="AH140" s="6">
        <v>6.3E-2</v>
      </c>
      <c r="AI140" s="6">
        <v>0.159</v>
      </c>
    </row>
    <row r="141" spans="32:35" ht="15.6" customHeight="1" x14ac:dyDescent="0.25">
      <c r="AF141" s="50"/>
      <c r="AG141" s="4">
        <v>24</v>
      </c>
      <c r="AH141" s="6">
        <v>8.1000000000000003E-2</v>
      </c>
      <c r="AI141" s="6">
        <v>0.183</v>
      </c>
    </row>
    <row r="142" spans="32:35" ht="15.6" customHeight="1" x14ac:dyDescent="0.25">
      <c r="AF142" s="50"/>
      <c r="AG142" s="4">
        <v>48</v>
      </c>
      <c r="AH142" s="6">
        <v>9.2999999999999999E-2</v>
      </c>
      <c r="AI142" s="6">
        <v>0.192</v>
      </c>
    </row>
    <row r="143" spans="32:35" ht="15.6" customHeight="1" x14ac:dyDescent="0.25">
      <c r="AF143" s="50"/>
      <c r="AG143" s="4">
        <v>96</v>
      </c>
      <c r="AH143" s="6">
        <v>0.11700000000000001</v>
      </c>
      <c r="AI143" s="6">
        <v>0.217</v>
      </c>
    </row>
    <row r="144" spans="32:35" ht="15.6" customHeight="1" x14ac:dyDescent="0.25">
      <c r="AF144" s="51"/>
      <c r="AG144" s="4" t="s">
        <v>19</v>
      </c>
      <c r="AH144" s="6">
        <v>8.7999999999999995E-2</v>
      </c>
      <c r="AI144" s="6">
        <v>0.188</v>
      </c>
    </row>
    <row r="145" spans="32:35" ht="15.6" customHeight="1" x14ac:dyDescent="0.25">
      <c r="AF145" s="52" t="s">
        <v>31</v>
      </c>
      <c r="AG145" s="4">
        <v>12</v>
      </c>
      <c r="AH145" s="6">
        <v>7.5999999999999998E-2</v>
      </c>
      <c r="AI145" s="6">
        <v>0.17799999999999999</v>
      </c>
    </row>
    <row r="146" spans="32:35" ht="15.6" customHeight="1" x14ac:dyDescent="0.25">
      <c r="AF146" s="50"/>
      <c r="AG146" s="4">
        <v>24</v>
      </c>
      <c r="AH146" s="6">
        <v>0.104</v>
      </c>
      <c r="AI146" s="6">
        <v>0.20899999999999999</v>
      </c>
    </row>
    <row r="147" spans="32:35" ht="15.6" customHeight="1" x14ac:dyDescent="0.25">
      <c r="AF147" s="50"/>
      <c r="AG147" s="4">
        <v>48</v>
      </c>
      <c r="AH147" s="6">
        <v>0.16700000000000001</v>
      </c>
      <c r="AI147" s="6">
        <v>0.22800000000000001</v>
      </c>
    </row>
    <row r="148" spans="32:35" ht="15.6" customHeight="1" x14ac:dyDescent="0.25">
      <c r="AF148" s="50"/>
      <c r="AG148" s="4">
        <v>96</v>
      </c>
      <c r="AH148" s="6">
        <v>0.245</v>
      </c>
      <c r="AI148" s="6">
        <v>0.28000000000000003</v>
      </c>
    </row>
    <row r="149" spans="32:35" ht="15.6" customHeight="1" x14ac:dyDescent="0.25">
      <c r="AF149" s="51"/>
      <c r="AG149" s="4" t="s">
        <v>19</v>
      </c>
      <c r="AH149" s="6">
        <v>0.14799999999999999</v>
      </c>
      <c r="AI149" s="6">
        <v>0.224</v>
      </c>
    </row>
    <row r="150" spans="32:35" ht="15.6" customHeight="1" x14ac:dyDescent="0.25">
      <c r="AF150" s="52" t="s">
        <v>32</v>
      </c>
      <c r="AG150" s="4">
        <v>24</v>
      </c>
      <c r="AH150" s="6">
        <v>1.7070000000000001</v>
      </c>
      <c r="AI150" s="6">
        <v>0.79200000000000004</v>
      </c>
    </row>
    <row r="151" spans="32:35" ht="15.6" customHeight="1" x14ac:dyDescent="0.25">
      <c r="AF151" s="50"/>
      <c r="AG151" s="4">
        <v>36</v>
      </c>
      <c r="AH151" s="6">
        <v>1.3180000000000001</v>
      </c>
      <c r="AI151" s="6">
        <v>0.73399999999999999</v>
      </c>
    </row>
    <row r="152" spans="32:35" ht="15.6" customHeight="1" x14ac:dyDescent="0.25">
      <c r="AF152" s="50"/>
      <c r="AG152" s="4">
        <v>48</v>
      </c>
      <c r="AH152" s="6">
        <v>1.4319999999999999</v>
      </c>
      <c r="AI152" s="6">
        <v>0.77700000000000002</v>
      </c>
    </row>
    <row r="153" spans="32:35" ht="15.6" customHeight="1" x14ac:dyDescent="0.25">
      <c r="AF153" s="50"/>
      <c r="AG153" s="4">
        <v>60</v>
      </c>
      <c r="AH153" s="6">
        <v>1.93</v>
      </c>
      <c r="AI153" s="6">
        <v>0.91800000000000004</v>
      </c>
    </row>
    <row r="154" spans="32:35" ht="15.6" customHeight="1" x14ac:dyDescent="0.25">
      <c r="AF154" s="51"/>
      <c r="AG154" s="4" t="s">
        <v>19</v>
      </c>
      <c r="AH154" s="6">
        <v>1.597</v>
      </c>
      <c r="AI154" s="6">
        <v>0.80500000000000005</v>
      </c>
    </row>
  </sheetData>
  <mergeCells count="39">
    <mergeCell ref="A1:A5"/>
    <mergeCell ref="BB80:BC80"/>
    <mergeCell ref="AA18:AB18"/>
    <mergeCell ref="AF17:AG17"/>
    <mergeCell ref="Q17:R17"/>
    <mergeCell ref="BB77:BC77"/>
    <mergeCell ref="AF77:AF80"/>
    <mergeCell ref="AH77:AH80"/>
    <mergeCell ref="AA17:AB17"/>
    <mergeCell ref="BB79:BC79"/>
    <mergeCell ref="AF140:AF144"/>
    <mergeCell ref="AF120:AF124"/>
    <mergeCell ref="AF83:AG83"/>
    <mergeCell ref="AF105:AF109"/>
    <mergeCell ref="AF125:AF129"/>
    <mergeCell ref="AF84:AG84"/>
    <mergeCell ref="D9:D13"/>
    <mergeCell ref="AF135:AF139"/>
    <mergeCell ref="AF150:AF154"/>
    <mergeCell ref="AA15:AB15"/>
    <mergeCell ref="AF115:AF119"/>
    <mergeCell ref="AF100:AF104"/>
    <mergeCell ref="AF90:AF94"/>
    <mergeCell ref="AF130:AF134"/>
    <mergeCell ref="G15:G18"/>
    <mergeCell ref="Q15:R15"/>
    <mergeCell ref="AF145:AF149"/>
    <mergeCell ref="AA16:AB16"/>
    <mergeCell ref="E107:E111"/>
    <mergeCell ref="AF95:AF99"/>
    <mergeCell ref="D15:D19"/>
    <mergeCell ref="AF85:AF89"/>
    <mergeCell ref="AH83:AI83"/>
    <mergeCell ref="AF110:AF114"/>
    <mergeCell ref="Q16:R16"/>
    <mergeCell ref="AI17:AJ17"/>
    <mergeCell ref="BB78:BC78"/>
    <mergeCell ref="Q18:R18"/>
    <mergeCell ref="F15:F18"/>
  </mergeCells>
  <phoneticPr fontId="10" type="noConversion"/>
  <conditionalFormatting sqref="F9:F13 H9:H13 J9:J13 L9:L13 N9:N13 P9:P13 R9:R13 T9:T13 V9:V13 X9:X13 Z9:Z13">
    <cfRule type="expression" dxfId="38" priority="42">
      <formula>F9=$AB9</formula>
    </cfRule>
    <cfRule type="expression" dxfId="37" priority="41" stopIfTrue="1">
      <formula>F9=$Z9</formula>
    </cfRule>
  </conditionalFormatting>
  <conditionalFormatting sqref="G9:G13 I9:I13 K9:K13 M9:M13 O9:O13 Q9:Q13 S9:S13 U9:U13 W9:W13 Y9:Y13 AA9:AA13 AD104 AD110:AD119">
    <cfRule type="expression" dxfId="36" priority="43" stopIfTrue="1">
      <formula>G9=$AA9</formula>
    </cfRule>
    <cfRule type="expression" dxfId="35" priority="44">
      <formula>G9=$AC9</formula>
    </cfRule>
  </conditionalFormatting>
  <conditionalFormatting sqref="G49:G91 M49:M91 R49:R91 W49:W91 Y49:Y91 AA49:AA91 AC49:AC91">
    <cfRule type="expression" dxfId="34" priority="48">
      <formula>G49=#REF!</formula>
    </cfRule>
  </conditionalFormatting>
  <conditionalFormatting sqref="G49:G103 M49:M103 R49:R103 W49:W103 Y49:Y103 AA49:AA103 AC49:AC103">
    <cfRule type="expression" dxfId="33" priority="45" stopIfTrue="1">
      <formula>G49=$AD49</formula>
    </cfRule>
  </conditionalFormatting>
  <conditionalFormatting sqref="G92 M92 R92 W92 Y92 AA92 AC92">
    <cfRule type="expression" dxfId="32" priority="46">
      <formula>G92=$AB104</formula>
    </cfRule>
  </conditionalFormatting>
  <conditionalFormatting sqref="G93:G103 M93:M103 R93:R103 W93:W103 Y93:Y103 AA93:AA103 AC93:AC103">
    <cfRule type="expression" dxfId="31" priority="98">
      <formula>G93=$AB110</formula>
    </cfRule>
  </conditionalFormatting>
  <conditionalFormatting sqref="G107:G111 I107:I111 K107:K111 M107:M111 O107:O111 Q107:Q111 S107:S111 U107:U111">
    <cfRule type="expression" dxfId="30" priority="5" stopIfTrue="1">
      <formula>G107=$T107</formula>
    </cfRule>
    <cfRule type="expression" dxfId="29" priority="6">
      <formula>G107=$V107</formula>
    </cfRule>
  </conditionalFormatting>
  <conditionalFormatting sqref="H49:H103 Q49:Q103 AB49:AB103 AD49:AD103 AH65:AH68 AH70:AH76 AF74:AF76 AF81:AF82 AH81:AH82">
    <cfRule type="expression" dxfId="28" priority="40">
      <formula>H49=#REF!</formula>
    </cfRule>
    <cfRule type="expression" dxfId="27" priority="39" stopIfTrue="1">
      <formula>H49=#REF!</formula>
    </cfRule>
  </conditionalFormatting>
  <conditionalFormatting sqref="H107:H111 J107:J111 L107:L111 N107:N111 P107:P111 R107:R111 T107:T111 V107:V111">
    <cfRule type="expression" dxfId="26" priority="7" stopIfTrue="1">
      <formula>H107=$U107</formula>
    </cfRule>
    <cfRule type="expression" dxfId="25" priority="8">
      <formula>H107=$W107</formula>
    </cfRule>
  </conditionalFormatting>
  <conditionalFormatting sqref="L49:L103">
    <cfRule type="expression" dxfId="24" priority="36">
      <formula>L49=#REF!</formula>
    </cfRule>
    <cfRule type="expression" dxfId="23" priority="35" stopIfTrue="1">
      <formula>L49=#REF!</formula>
    </cfRule>
  </conditionalFormatting>
  <conditionalFormatting sqref="V49:V103">
    <cfRule type="expression" dxfId="22" priority="28">
      <formula>V49=#REF!</formula>
    </cfRule>
    <cfRule type="expression" dxfId="21" priority="27" stopIfTrue="1">
      <formula>V49=#REF!</formula>
    </cfRule>
  </conditionalFormatting>
  <conditionalFormatting sqref="Z49:Z103">
    <cfRule type="expression" dxfId="20" priority="23" stopIfTrue="1">
      <formula>Z49=#REF!</formula>
    </cfRule>
    <cfRule type="expression" dxfId="19" priority="24">
      <formula>Z49=#REF!</formula>
    </cfRule>
  </conditionalFormatting>
  <conditionalFormatting sqref="AC104">
    <cfRule type="expression" dxfId="18" priority="79" stopIfTrue="1">
      <formula>AC104=$AD92</formula>
    </cfRule>
    <cfRule type="expression" dxfId="17" priority="80">
      <formula>AC104=$AB104</formula>
    </cfRule>
  </conditionalFormatting>
  <conditionalFormatting sqref="AC110:AC119 AE110:AE119">
    <cfRule type="expression" dxfId="16" priority="154">
      <formula>AC110=$AB110</formula>
    </cfRule>
  </conditionalFormatting>
  <conditionalFormatting sqref="AE65:AE119 AG74:AG76 AG81:AG82 AC110:AC119">
    <cfRule type="expression" dxfId="15" priority="153" stopIfTrue="1">
      <formula>AC65=$AD48</formula>
    </cfRule>
  </conditionalFormatting>
  <conditionalFormatting sqref="AE109">
    <cfRule type="expression" dxfId="14" priority="160">
      <formula>AE109=$AB104</formula>
    </cfRule>
  </conditionalFormatting>
  <conditionalFormatting sqref="AF19:AF67 AG58 AF68:AG68 AF69:AF72 AF73:AG73">
    <cfRule type="expression" dxfId="13" priority="13" stopIfTrue="1">
      <formula>AF19=$X19</formula>
    </cfRule>
    <cfRule type="expression" dxfId="12" priority="14">
      <formula>AF19=$Z19</formula>
    </cfRule>
  </conditionalFormatting>
  <conditionalFormatting sqref="AG19:AG57 AG59:AG67 AG69:AG72">
    <cfRule type="expression" dxfId="11" priority="15" stopIfTrue="1">
      <formula>AG19=$Y19</formula>
    </cfRule>
    <cfRule type="expression" dxfId="10" priority="16">
      <formula>AG19=$AA19</formula>
    </cfRule>
  </conditionalFormatting>
  <conditionalFormatting sqref="AH69 AE65:AE108 AG74:AG76 AG81:AG82">
    <cfRule type="expression" dxfId="9" priority="166">
      <formula>AE65=#REF!</formula>
    </cfRule>
  </conditionalFormatting>
  <conditionalFormatting sqref="AH69">
    <cfRule type="expression" dxfId="8" priority="165" stopIfTrue="1">
      <formula>AH69=$AD52</formula>
    </cfRule>
  </conditionalFormatting>
  <conditionalFormatting sqref="AH85:AH154">
    <cfRule type="expression" dxfId="7" priority="2">
      <formula>AH85=$Z85</formula>
    </cfRule>
    <cfRule type="expression" dxfId="6" priority="1" stopIfTrue="1">
      <formula>AH85=$X85</formula>
    </cfRule>
  </conditionalFormatting>
  <conditionalFormatting sqref="AI19:AI67 AJ23 AJ33 AJ38 AJ43 AI68:AJ68 AI69:AI72 AI73:AJ73">
    <cfRule type="expression" dxfId="5" priority="9" stopIfTrue="1">
      <formula>AI19=$V19</formula>
    </cfRule>
    <cfRule type="expression" dxfId="4" priority="10">
      <formula>AI19=$X19</formula>
    </cfRule>
  </conditionalFormatting>
  <conditionalFormatting sqref="AI85:AI154">
    <cfRule type="expression" dxfId="3" priority="4">
      <formula>AI85=$AA85</formula>
    </cfRule>
    <cfRule type="expression" dxfId="2" priority="3" stopIfTrue="1">
      <formula>AI85=$Y85</formula>
    </cfRule>
  </conditionalFormatting>
  <conditionalFormatting sqref="AJ19:AJ22 AJ24:AJ32 AJ34:AJ37 AJ39:AJ42 AJ44:AJ67 AJ69:AJ72">
    <cfRule type="expression" dxfId="1" priority="12">
      <formula>AJ19=$Y19</formula>
    </cfRule>
    <cfRule type="expression" dxfId="0" priority="11" stopIfTrue="1">
      <formula>AJ19=$W19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Xingsheng Chen</cp:lastModifiedBy>
  <dcterms:created xsi:type="dcterms:W3CDTF">2025-11-24T14:19:24Z</dcterms:created>
  <dcterms:modified xsi:type="dcterms:W3CDTF">2026-09-08T00:36:29Z</dcterms:modified>
</cp:coreProperties>
</file>